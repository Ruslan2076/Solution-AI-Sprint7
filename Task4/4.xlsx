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егенда" sheetId="1" state="visible" r:id="rId3"/>
    <sheet name="Рынок" sheetId="2" state="visible" r:id="rId4"/>
    <sheet name="Допущения" sheetId="3" state="visible" r:id="rId5"/>
    <sheet name="TCO" sheetId="4" state="visible" r:id="rId6"/>
    <sheet name="Эффект" sheetId="5" state="visible" r:id="rId7"/>
    <sheet name="Единица" sheetId="6" state="visible" r:id="rId8"/>
    <sheet name="Альтернативы" sheetId="7" state="visible" r:id="rId9"/>
    <sheet name="Чувствительность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<sst xmlns="http://schemas.openxmlformats.org/spreadsheetml/2006/main" count="557" uniqueCount="398">
  <si>
    <t xml:space="preserve">RetailBank · ИН-01 · Стоимость владения сервисом приоритизации и эффект</t>
  </si>
  <si>
    <t xml:space="preserve">Горизонт</t>
  </si>
  <si>
    <t xml:space="preserve">24 месяца: месяцы 1–6 пилот, 7–9 вывод в прод, с месяца 10 эксплуатация (Д-30).</t>
  </si>
  <si>
    <t xml:space="preserve">Синий шрифт на жёлтом</t>
  </si>
  <si>
    <t xml:space="preserve">Входные значения: можно менять, все расчёты пересчитаются.</t>
  </si>
  <si>
    <t xml:space="preserve">Зелёный шрифт</t>
  </si>
  <si>
    <t xml:space="preserve">Формулы.</t>
  </si>
  <si>
    <t xml:space="preserve">Допущения</t>
  </si>
  <si>
    <t xml:space="preserve">Лист «Допущения»: ID, значение, источник, критичность для вывода.</t>
  </si>
  <si>
    <t xml:space="preserve">Рынок</t>
  </si>
  <si>
    <t xml:space="preserve">Лист «Рынок»: внешние цены с источником и датой обращения.</t>
  </si>
  <si>
    <t xml:space="preserve">TCO</t>
  </si>
  <si>
    <t xml:space="preserve">Лист «TCO»: разовые и регулярные статьи, итоги по годам и за 2 года.</t>
  </si>
  <si>
    <t xml:space="preserve">Эффект</t>
  </si>
  <si>
    <t xml:space="preserve">Лист «Эффект»: эффект против текущего процесса по сценариям прироста доли эскалаций; точки безубыточности.</t>
  </si>
  <si>
    <t xml:space="preserve">Единица</t>
  </si>
  <si>
    <t xml:space="preserve">Лист «Единица»: стоимость на операцию и на дополнительную эскалацию.</t>
  </si>
  <si>
    <t xml:space="preserve">Альтернативы</t>
  </si>
  <si>
    <t xml:space="preserve">Лист «Альтернативы»: стоимость отклонённых вариантов по рыночным ценам.</t>
  </si>
  <si>
    <t xml:space="preserve">Валюта</t>
  </si>
  <si>
    <t xml:space="preserve">Рубли с НДС, где источник приводит цены с НДС; внутренние ставки — полная стоимость часа для банка.</t>
  </si>
  <si>
    <t xml:space="preserve">Внешние рыночные цены (обращение 2026-10-24)</t>
  </si>
  <si>
    <t xml:space="preserve">ID</t>
  </si>
  <si>
    <t xml:space="preserve">Позиция</t>
  </si>
  <si>
    <t xml:space="preserve">Цена</t>
  </si>
  <si>
    <t xml:space="preserve">Источник</t>
  </si>
  <si>
    <t xml:space="preserve">Дата источника / обращения</t>
  </si>
  <si>
    <t xml:space="preserve">Где используется</t>
  </si>
  <si>
    <t xml:space="preserve">М-01</t>
  </si>
  <si>
    <t xml:space="preserve">Yandex Cloud Compute: 1 vCPU (100%), Intel Ice Lake</t>
  </si>
  <si>
    <t xml:space="preserve">₽ / час</t>
  </si>
  <si>
    <t xml:space="preserve">https://yandex.cloud/ru/docs/compute/pricing (пример расчёта)</t>
  </si>
  <si>
    <t xml:space="preserve">дата цен на странице не указана; обращение 2026-10-24</t>
  </si>
  <si>
    <t xml:space="preserve">Эквивалент стоимости вычислений для инфраструктуры в контуре банка</t>
  </si>
  <si>
    <t xml:space="preserve">М-02</t>
  </si>
  <si>
    <t xml:space="preserve">Yandex Cloud Compute: 1 ГБ RAM, Intel Ice Lake</t>
  </si>
  <si>
    <t xml:space="preserve">То же</t>
  </si>
  <si>
    <t xml:space="preserve">М-03</t>
  </si>
  <si>
    <t xml:space="preserve">Cloud.ru Evolution: ВМ 1 vCPU / 1 ГБ RAM</t>
  </si>
  <si>
    <t xml:space="preserve">https://cdn.cloud.ru/docs/legal/tariffs/evolution/current-version/evolution-compute.pdf</t>
  </si>
  <si>
    <t xml:space="preserve">версия тарифа 261014; обращение 2026-10-24</t>
  </si>
  <si>
    <t xml:space="preserve">Сверка порядка цен М-01/М-02</t>
  </si>
  <si>
    <t xml:space="preserve">М-04</t>
  </si>
  <si>
    <t xml:space="preserve">Selectel DL24-NVMe: 2×Xeon Silver 4114 (20 ядер), 64 ГБ RAM, 2×960 ГБ NVMe</t>
  </si>
  <si>
    <t xml:space="preserve">₽ / месяц с НДС</t>
  </si>
  <si>
    <t xml:space="preserve">https://www.whtop.com/plans/selectel.ru/148090</t>
  </si>
  <si>
    <t xml:space="preserve">обновлено 2026-04-30; обращение 2026-10-24</t>
  </si>
  <si>
    <t xml:space="preserve">Сверка: стоимость выделенного сервера как ориентир для on-premises</t>
  </si>
  <si>
    <t xml:space="preserve">М-05</t>
  </si>
  <si>
    <t xml:space="preserve">Cloud.ru Advanced: ВМ с NVIDIA A100, 20 vCPU / 117 ГБ RAM (p3a.5xlarge.6, Linux)</t>
  </si>
  <si>
    <t xml:space="preserve">₽ / час с НДС</t>
  </si>
  <si>
    <t xml:space="preserve">https://cdn.cloud.ru/docs/legal/tariffs/advanced/future-version/gpu-accelerated.pdf</t>
  </si>
  <si>
    <t xml:space="preserve">версия тарифа 260403; обращение 2026-10-24</t>
  </si>
  <si>
    <t xml:space="preserve">Альтернатива: своя языковая модель для назначения платежа (отклонена)</t>
  </si>
  <si>
    <t xml:space="preserve">М-06</t>
  </si>
  <si>
    <t xml:space="preserve">GigaChat API Pro, pay-as-you-go, юрлица</t>
  </si>
  <si>
    <t xml:space="preserve">₽ / 1 млн токенов с НДС</t>
  </si>
  <si>
    <t xml:space="preserve">https://developers.sber.ru/docs/ru/gigachat/tariffs/legal-tariffs</t>
  </si>
  <si>
    <t xml:space="preserve">страница обновлена 2026-10-07; обращение 2026-10-24</t>
  </si>
  <si>
    <t xml:space="preserve">Альтернатива: внешняя LLM для назначения платежа (отклонена по ЖО-3)</t>
  </si>
  <si>
    <t xml:space="preserve">М-07</t>
  </si>
  <si>
    <t xml:space="preserve">GigaChat API Lite, pay-as-you-go, юрлица</t>
  </si>
  <si>
    <t xml:space="preserve">М-08</t>
  </si>
  <si>
    <t xml:space="preserve">GigaChat Embeddings, синхронный режим</t>
  </si>
  <si>
    <t xml:space="preserve">Допущения и входные значения</t>
  </si>
  <si>
    <t xml:space="preserve">Параметр</t>
  </si>
  <si>
    <t xml:space="preserve">Значение</t>
  </si>
  <si>
    <t xml:space="preserve">Критичность для вывода</t>
  </si>
  <si>
    <t xml:space="preserve">Комментарий</t>
  </si>
  <si>
    <t xml:space="preserve">Д-01</t>
  </si>
  <si>
    <t xml:space="preserve">Помеченных операций в месяц</t>
  </si>
  <si>
    <t xml:space="preserve">операций</t>
  </si>
  <si>
    <t xml:space="preserve">из контекста кейса</t>
  </si>
  <si>
    <t xml:space="preserve">Средняя</t>
  </si>
  <si>
    <t xml:space="preserve">Д-02</t>
  </si>
  <si>
    <t xml:space="preserve">Разбираемых операций в месяц (мощность службы)</t>
  </si>
  <si>
    <t xml:space="preserve">Высокая</t>
  </si>
  <si>
    <t xml:space="preserve">Штат не меняется</t>
  </si>
  <si>
    <t xml:space="preserve">Д-03</t>
  </si>
  <si>
    <t xml:space="preserve">ФОТ службы финмониторинга</t>
  </si>
  <si>
    <t xml:space="preserve">₽ / год</t>
  </si>
  <si>
    <t xml:space="preserve">Основа стоимости разбора и эквивалента эскалации</t>
  </si>
  <si>
    <t xml:space="preserve">Д-04</t>
  </si>
  <si>
    <t xml:space="preserve">Доля эскалаций среди разобранных сейчас (baseline)</t>
  </si>
  <si>
    <t xml:space="preserve">доля</t>
  </si>
  <si>
    <t xml:space="preserve">~400 из 10 000</t>
  </si>
  <si>
    <t xml:space="preserve">Д-05</t>
  </si>
  <si>
    <t xml:space="preserve">Численность службы</t>
  </si>
  <si>
    <t xml:space="preserve">чел.</t>
  </si>
  <si>
    <t xml:space="preserve">Низкая</t>
  </si>
  <si>
    <t xml:space="preserve">Д-06</t>
  </si>
  <si>
    <t xml:space="preserve">Контрольная выборка</t>
  </si>
  <si>
    <t xml:space="preserve">операций / мес</t>
  </si>
  <si>
    <t xml:space="preserve">ADR-001</t>
  </si>
  <si>
    <t xml:space="preserve">Забирает мощность у ранжируемой части</t>
  </si>
  <si>
    <t xml:space="preserve">Д-07</t>
  </si>
  <si>
    <t xml:space="preserve">Доля контрольной выборки на двойной разбор</t>
  </si>
  <si>
    <t xml:space="preserve">Д-10</t>
  </si>
  <si>
    <t xml:space="preserve">Полная стоимость часа DS/ML-инженера</t>
  </si>
  <si>
    <t xml:space="preserve">оценка: рыночный уровень оплаты с начислениями и накладными</t>
  </si>
  <si>
    <t xml:space="preserve">Д-11</t>
  </si>
  <si>
    <t xml:space="preserve">Полная стоимость часа разработчика / дата-инженера</t>
  </si>
  <si>
    <t xml:space="preserve">оценка</t>
  </si>
  <si>
    <t xml:space="preserve">Д-12</t>
  </si>
  <si>
    <t xml:space="preserve">Полная стоимость часа специалиста ИБ</t>
  </si>
  <si>
    <t xml:space="preserve">Д-13</t>
  </si>
  <si>
    <t xml:space="preserve">Полная стоимость часа комплаенса, DPO, юриста</t>
  </si>
  <si>
    <t xml:space="preserve">Д-14</t>
  </si>
  <si>
    <t xml:space="preserve">Рабочих часов в месяц на 1 FTE</t>
  </si>
  <si>
    <t xml:space="preserve">часов</t>
  </si>
  <si>
    <t xml:space="preserve">Д-20</t>
  </si>
  <si>
    <t xml:space="preserve">Витрина признаков и меток из истории</t>
  </si>
  <si>
    <t xml:space="preserve">часов DE</t>
  </si>
  <si>
    <t xml:space="preserve">Д-21</t>
  </si>
  <si>
    <t xml:space="preserve">Гайдлайн эскалации: эксперты финмониторинга</t>
  </si>
  <si>
    <t xml:space="preserve">часов ФМ</t>
  </si>
  <si>
    <t xml:space="preserve">Д-22</t>
  </si>
  <si>
    <t xml:space="preserve">Гайдлайн эскалации: комплаенс</t>
  </si>
  <si>
    <t xml:space="preserve">Д-23</t>
  </si>
  <si>
    <t xml:space="preserve">Сборка отложенного и приёмочного набора, сценарии С1–С8</t>
  </si>
  <si>
    <t xml:space="preserve">часов DS</t>
  </si>
  <si>
    <t xml:space="preserve">Д-24</t>
  </si>
  <si>
    <t xml:space="preserve">Обучение К1/К2, калибровка, приёмка</t>
  </si>
  <si>
    <t xml:space="preserve">Д-25</t>
  </si>
  <si>
    <t xml:space="preserve">Сервисы: признаки, приоритизация, брокер, публикатор, журнал, реестр</t>
  </si>
  <si>
    <t xml:space="preserve">часов разработки</t>
  </si>
  <si>
    <t xml:space="preserve">аналогия: 2 разработчика × 4 месяца</t>
  </si>
  <si>
    <t xml:space="preserve">Самая крупная разовая статья</t>
  </si>
  <si>
    <t xml:space="preserve">Д-26</t>
  </si>
  <si>
    <t xml:space="preserve">Доработка системы ФМ: приём приоритета, коды причин, обязательная причина решения, двойной разбор</t>
  </si>
  <si>
    <t xml:space="preserve">оценка; зависит от владельца системы ФМ</t>
  </si>
  <si>
    <t xml:space="preserve">Если система ФМ вендорская, цена может быть выше</t>
  </si>
  <si>
    <t xml:space="preserve">Д-27</t>
  </si>
  <si>
    <t xml:space="preserve">Обучение аналитиков новому порядку и кодам причин</t>
  </si>
  <si>
    <t xml:space="preserve">часов на аналитика</t>
  </si>
  <si>
    <t xml:space="preserve">Д-28</t>
  </si>
  <si>
    <t xml:space="preserve">Наблюдаемость: метрики по слоям, дашборды, алерты</t>
  </si>
  <si>
    <t xml:space="preserve">Д-29</t>
  </si>
  <si>
    <t xml:space="preserve">Безопасность: ИБ (учётки, подпись артефактов, проверка зависимостей)</t>
  </si>
  <si>
    <t xml:space="preserve">часов ИБ</t>
  </si>
  <si>
    <t xml:space="preserve">Д-31</t>
  </si>
  <si>
    <t xml:space="preserve">Согласования: комплаенс, DPO, юристы (ВЮ-06, 07, 10, 11, 12)</t>
  </si>
  <si>
    <t xml:space="preserve">Д-32</t>
  </si>
  <si>
    <t xml:space="preserve">Анализ теневого режима и двух рукавов</t>
  </si>
  <si>
    <t xml:space="preserve">Д-33</t>
  </si>
  <si>
    <t xml:space="preserve">Вариант модели без признака внешней платформы (план выхода)</t>
  </si>
  <si>
    <t xml:space="preserve">Д-30</t>
  </si>
  <si>
    <t xml:space="preserve">Месяц начала эксплуатации</t>
  </si>
  <si>
    <t xml:space="preserve">месяц</t>
  </si>
  <si>
    <t xml:space="preserve">оценка: пилот 1–6, вывод в прод 7–9</t>
  </si>
  <si>
    <t xml:space="preserve">Сдвиг на квартал снимает 3 месяца эффекта</t>
  </si>
  <si>
    <t xml:space="preserve">Д-34</t>
  </si>
  <si>
    <t xml:space="preserve">Месяц начала прод-инфраструктуры</t>
  </si>
  <si>
    <t xml:space="preserve">Д-40</t>
  </si>
  <si>
    <t xml:space="preserve">Прод: vCPU (сервисы, брокер, БД с резервом)</t>
  </si>
  <si>
    <t xml:space="preserve">vCPU</t>
  </si>
  <si>
    <t xml:space="preserve">Модель на табличных данных, GPU не нужен</t>
  </si>
  <si>
    <t xml:space="preserve">Д-41</t>
  </si>
  <si>
    <t xml:space="preserve">Прод: RAM</t>
  </si>
  <si>
    <t xml:space="preserve">ГБ</t>
  </si>
  <si>
    <t xml:space="preserve">Д-42</t>
  </si>
  <si>
    <t xml:space="preserve">Среда DS: vCPU</t>
  </si>
  <si>
    <t xml:space="preserve">Д-43</t>
  </si>
  <si>
    <t xml:space="preserve">Среда DS: RAM</t>
  </si>
  <si>
    <t xml:space="preserve">Д-44</t>
  </si>
  <si>
    <t xml:space="preserve">Надбавка на диски, резервные копии, сеть</t>
  </si>
  <si>
    <t xml:space="preserve">Д-45</t>
  </si>
  <si>
    <t xml:space="preserve">Часов в месяц работы инфраструктуры</t>
  </si>
  <si>
    <t xml:space="preserve">24 × 365 / 12</t>
  </si>
  <si>
    <t xml:space="preserve">Д-46</t>
  </si>
  <si>
    <t xml:space="preserve">Стоимость мощности в контуре банка ≈ рыночная аренда того же объёма</t>
  </si>
  <si>
    <t xml:space="preserve">коэффициент</t>
  </si>
  <si>
    <t xml:space="preserve">аналогия: М-01, М-02, сверка М-03, М-04</t>
  </si>
  <si>
    <t xml:space="preserve">Инфраструктура — малая доля TCO</t>
  </si>
  <si>
    <t xml:space="preserve">Д-50</t>
  </si>
  <si>
    <t xml:space="preserve">Поддержка и дежурство</t>
  </si>
  <si>
    <t xml:space="preserve">FTE разработчика</t>
  </si>
  <si>
    <t xml:space="preserve">Д-51</t>
  </si>
  <si>
    <t xml:space="preserve">Сопровождение модели: мониторинг, переобучение, разбор алертов</t>
  </si>
  <si>
    <t xml:space="preserve">FTE DS</t>
  </si>
  <si>
    <t xml:space="preserve">Д-52</t>
  </si>
  <si>
    <t xml:space="preserve">Регрессионных прогонов в год</t>
  </si>
  <si>
    <t xml:space="preserve">прогонов</t>
  </si>
  <si>
    <t xml:space="preserve">оценка: квартальное переобучение</t>
  </si>
  <si>
    <t xml:space="preserve">Д-53</t>
  </si>
  <si>
    <t xml:space="preserve">Трудоёмкость одного регрессионного прогона с теневым режимом</t>
  </si>
  <si>
    <t xml:space="preserve">Д-54</t>
  </si>
  <si>
    <t xml:space="preserve">Ежегодный аудит безопасности</t>
  </si>
  <si>
    <t xml:space="preserve">Д-55</t>
  </si>
  <si>
    <t xml:space="preserve">Ежегодный пересмотр с комплаенсом</t>
  </si>
  <si>
    <t xml:space="preserve">Д-56</t>
  </si>
  <si>
    <t xml:space="preserve">Резерв на смену поставщика или библиотек</t>
  </si>
  <si>
    <t xml:space="preserve">часов DS / год</t>
  </si>
  <si>
    <t xml:space="preserve">Д-60</t>
  </si>
  <si>
    <t xml:space="preserve">Метод оценки эскалации: стоимость получить её ручным разбором при текущей доле</t>
  </si>
  <si>
    <t xml:space="preserve">—</t>
  </si>
  <si>
    <t xml:space="preserve">оценка, метод</t>
  </si>
  <si>
    <t xml:space="preserve">Ценность эскалации для бизнеса выше (регуляторный риск), но в деньгах в кейсе не дана</t>
  </si>
  <si>
    <t xml:space="preserve">Д-61</t>
  </si>
  <si>
    <t xml:space="preserve">Базовый сценарий прироста доли эскалаций</t>
  </si>
  <si>
    <t xml:space="preserve">доля (п. п.)</t>
  </si>
  <si>
    <t xml:space="preserve">оценка; проверяется пилотом</t>
  </si>
  <si>
    <t xml:space="preserve">Переворачивает вывод</t>
  </si>
  <si>
    <t xml:space="preserve">Производные величины</t>
  </si>
  <si>
    <t xml:space="preserve">Д-90</t>
  </si>
  <si>
    <t xml:space="preserve">Стоимость одного разбора (ФОТ / 12 / разборов в месяц)</t>
  </si>
  <si>
    <t xml:space="preserve">₽</t>
  </si>
  <si>
    <t xml:space="preserve">расчёт из кейса</t>
  </si>
  <si>
    <t xml:space="preserve">Д-91</t>
  </si>
  <si>
    <t xml:space="preserve">Стоимость часа эксперта финмониторинга (разбор 12 минут)</t>
  </si>
  <si>
    <t xml:space="preserve">Д-92</t>
  </si>
  <si>
    <t xml:space="preserve">Стоимость одной эскалации при текущем процессе (ФОТ / 12 / эскалаций)</t>
  </si>
  <si>
    <t xml:space="preserve">Д-93</t>
  </si>
  <si>
    <t xml:space="preserve">Ранжируемых разборов в месяц (мощность минус контроль)</t>
  </si>
  <si>
    <t xml:space="preserve">расчёт</t>
  </si>
  <si>
    <t xml:space="preserve">Д-94</t>
  </si>
  <si>
    <t xml:space="preserve">Месяцев эксплуатации на горизонте 24 мес.</t>
  </si>
  <si>
    <t xml:space="preserve">месяцев</t>
  </si>
  <si>
    <t xml:space="preserve">Стоимость владения ИН-01 на горизонте 24 месяцев, ₽</t>
  </si>
  <si>
    <t xml:space="preserve">Статья</t>
  </si>
  <si>
    <t xml:space="preserve">Категория</t>
  </si>
  <si>
    <t xml:space="preserve">Тип</t>
  </si>
  <si>
    <t xml:space="preserve">Расчёт</t>
  </si>
  <si>
    <t xml:space="preserve">Сумма разово / в месяц</t>
  </si>
  <si>
    <t xml:space="preserve">Месяц начала</t>
  </si>
  <si>
    <t xml:space="preserve">Год 1</t>
  </si>
  <si>
    <t xml:space="preserve">Год 2</t>
  </si>
  <si>
    <t xml:space="preserve">Итого 2 года</t>
  </si>
  <si>
    <t xml:space="preserve">Разовые</t>
  </si>
  <si>
    <t xml:space="preserve">Р-01</t>
  </si>
  <si>
    <t xml:space="preserve">Данные: витрина признаков и меток из истории</t>
  </si>
  <si>
    <t xml:space="preserve">Данные и проверочные наборы</t>
  </si>
  <si>
    <t xml:space="preserve">разово</t>
  </si>
  <si>
    <t xml:space="preserve">Д-20 × Д-11</t>
  </si>
  <si>
    <t xml:space="preserve">Р-02</t>
  </si>
  <si>
    <t xml:space="preserve">Данные: гайдлайн эскалации (эксперты ФМ и комплаенс)</t>
  </si>
  <si>
    <t xml:space="preserve">Д-21 × Д-91 + Д-22 × Д-13</t>
  </si>
  <si>
    <t xml:space="preserve">Р-03</t>
  </si>
  <si>
    <t xml:space="preserve">Данные: отложенный и приёмочный набор, сценарии С1–С8</t>
  </si>
  <si>
    <t xml:space="preserve">Д-23 × Д-10</t>
  </si>
  <si>
    <t xml:space="preserve">Р-04</t>
  </si>
  <si>
    <t xml:space="preserve">Модель: обучение К1/К2, калибровка, приёмка</t>
  </si>
  <si>
    <t xml:space="preserve">Модель</t>
  </si>
  <si>
    <t xml:space="preserve">Д-24 × Д-10</t>
  </si>
  <si>
    <t xml:space="preserve">Р-05</t>
  </si>
  <si>
    <t xml:space="preserve">Интеграция: сервисы признаков и приоритизации, брокер, публикатор, журнал, реестр</t>
  </si>
  <si>
    <t xml:space="preserve">Интеграция и разработка</t>
  </si>
  <si>
    <t xml:space="preserve">Д-25 × Д-11</t>
  </si>
  <si>
    <t xml:space="preserve">Р-06</t>
  </si>
  <si>
    <t xml:space="preserve">Ручной контур: доработка рабочего места в системе ФМ</t>
  </si>
  <si>
    <t xml:space="preserve">Ручной контур и интерфейс</t>
  </si>
  <si>
    <t xml:space="preserve">Д-26 × Д-11</t>
  </si>
  <si>
    <t xml:space="preserve">Р-07</t>
  </si>
  <si>
    <t xml:space="preserve">Ручной контур: обучение аналитиков</t>
  </si>
  <si>
    <t xml:space="preserve">Д-27 × Д-05 × Д-91</t>
  </si>
  <si>
    <t xml:space="preserve">Р-08</t>
  </si>
  <si>
    <t xml:space="preserve">Наблюдаемость</t>
  </si>
  <si>
    <t xml:space="preserve">Д-28 × Д-11</t>
  </si>
  <si>
    <t xml:space="preserve">Р-09</t>
  </si>
  <si>
    <t xml:space="preserve">Безопасность: ИБ</t>
  </si>
  <si>
    <t xml:space="preserve">Безопасность и соответствие</t>
  </si>
  <si>
    <t xml:space="preserve">Д-29 × Д-12</t>
  </si>
  <si>
    <t xml:space="preserve">Р-10</t>
  </si>
  <si>
    <t xml:space="preserve">Соответствие: согласования с комплаенсом, DPO, юристами</t>
  </si>
  <si>
    <t xml:space="preserve">Д-31 × Д-13</t>
  </si>
  <si>
    <t xml:space="preserve">Р-11</t>
  </si>
  <si>
    <t xml:space="preserve">Пилот: анализ теневого режима и двух рукавов</t>
  </si>
  <si>
    <t xml:space="preserve">Д-32 × Д-10</t>
  </si>
  <si>
    <t xml:space="preserve">Р-12</t>
  </si>
  <si>
    <t xml:space="preserve">Выход от поставщика: вариант модели без внешнего признака</t>
  </si>
  <si>
    <t xml:space="preserve">Миграция при смене поставщика</t>
  </si>
  <si>
    <t xml:space="preserve">Д-33 × Д-10</t>
  </si>
  <si>
    <t xml:space="preserve">Регулярные</t>
  </si>
  <si>
    <t xml:space="preserve">Р-20</t>
  </si>
  <si>
    <t xml:space="preserve">Инфраструктура прода в контуре банка</t>
  </si>
  <si>
    <t xml:space="preserve">Инфраструктура</t>
  </si>
  <si>
    <t xml:space="preserve">в месяц</t>
  </si>
  <si>
    <t xml:space="preserve">(Д-40 × М-01 + Д-41 × М-02) × Д-45 × (1 + Д-44) × Д-46</t>
  </si>
  <si>
    <t xml:space="preserve">Р-21</t>
  </si>
  <si>
    <t xml:space="preserve">Среда DS (обучение, приёмка, анализ)</t>
  </si>
  <si>
    <t xml:space="preserve">(Д-42 × М-01 + Д-43 × М-02) × Д-45 × (1 + Д-44) × Д-46</t>
  </si>
  <si>
    <t xml:space="preserve">Р-22</t>
  </si>
  <si>
    <t xml:space="preserve">Контрольная выборка: разбор финмониторингом</t>
  </si>
  <si>
    <t xml:space="preserve">Данные и проверочные наборы; ручной контур</t>
  </si>
  <si>
    <t xml:space="preserve">Д-06 × Д-90</t>
  </si>
  <si>
    <t xml:space="preserve">Р-23</t>
  </si>
  <si>
    <t xml:space="preserve">Двойной разбор части контрольной выборки</t>
  </si>
  <si>
    <t xml:space="preserve">Д-06 × Д-07 × Д-90</t>
  </si>
  <si>
    <t xml:space="preserve">Р-24</t>
  </si>
  <si>
    <t xml:space="preserve">Поддержка</t>
  </si>
  <si>
    <t xml:space="preserve">Д-50 × Д-14 × Д-11</t>
  </si>
  <si>
    <t xml:space="preserve">Р-25</t>
  </si>
  <si>
    <t xml:space="preserve">Сопровождение модели</t>
  </si>
  <si>
    <t xml:space="preserve">Эксплуатация модели</t>
  </si>
  <si>
    <t xml:space="preserve">Д-51 × Д-14 × Д-10</t>
  </si>
  <si>
    <t xml:space="preserve">Р-26</t>
  </si>
  <si>
    <t xml:space="preserve">Обновления и регрессионные прогоны</t>
  </si>
  <si>
    <t xml:space="preserve">Обновления</t>
  </si>
  <si>
    <t xml:space="preserve">Д-52 × Д-53 × Д-10 / 12</t>
  </si>
  <si>
    <t xml:space="preserve">Р-27</t>
  </si>
  <si>
    <t xml:space="preserve">Безопасность и соответствие: ежегодно</t>
  </si>
  <si>
    <t xml:space="preserve">(Д-54 × Д-12 + Д-55 × Д-13) / 12</t>
  </si>
  <si>
    <t xml:space="preserve">Р-28</t>
  </si>
  <si>
    <t xml:space="preserve">Д-56 × Д-10 / 12</t>
  </si>
  <si>
    <t xml:space="preserve">Оплата API модели</t>
  </si>
  <si>
    <t xml:space="preserve">Вызовы модели</t>
  </si>
  <si>
    <t xml:space="preserve">Не применимо: своя модель в контуре банка, оплаты за вызов нет</t>
  </si>
  <si>
    <t xml:space="preserve">Итого разовые</t>
  </si>
  <si>
    <t xml:space="preserve">Итого регулярные</t>
  </si>
  <si>
    <t xml:space="preserve">Стоимость владения</t>
  </si>
  <si>
    <t xml:space="preserve">Регулярные расходы в установившемся режиме, в месяц</t>
  </si>
  <si>
    <t xml:space="preserve">Доля ручного контура (Р-22, Р-23) и людей в регулярных расходах</t>
  </si>
  <si>
    <t xml:space="preserve">Доля инфраструктуры в регулярных расходах</t>
  </si>
  <si>
    <t xml:space="preserve">Стоимость до шлюза 1 (месяц 3: офлайн-проверка и контрольная выборка), ₽</t>
  </si>
  <si>
    <t xml:space="preserve">Р-01…Р-04 + 3 месяца Р-21…Р-23: столько стоит узнать, есть ли сигнал, до вложений в интеграцию</t>
  </si>
  <si>
    <t xml:space="preserve">Эффект против текущего процесса и безубыточность</t>
  </si>
  <si>
    <t xml:space="preserve">Метод</t>
  </si>
  <si>
    <t xml:space="preserve">Штат и мощность службы не меняются (Д-02). Модель меняет, что попадает в 9 500 ранжируемых разборов. Дополнительная эскалация оценивается тем, во что обошлось бы получить её ручным разбором при текущей доле 4% (Д-92, Д-60).</t>
  </si>
  <si>
    <t xml:space="preserve">Эффект на 1 п. п. прироста доли эскалаций, ₽ / мес</t>
  </si>
  <si>
    <t xml:space="preserve">Дополнительных эскалаций на 1 п. п., в месяц</t>
  </si>
  <si>
    <t xml:space="preserve">Прирост доли эскалаций, п. п.</t>
  </si>
  <si>
    <t xml:space="preserve">Доля эскалаций в ранжируемой части</t>
  </si>
  <si>
    <t xml:space="preserve">Доп. эскалаций в месяц</t>
  </si>
  <si>
    <t xml:space="preserve">Эффект в месяц, ₽</t>
  </si>
  <si>
    <t xml:space="preserve">Эффект за 2 года, ₽</t>
  </si>
  <si>
    <t xml:space="preserve">Стоимость владения 2 года, ₽</t>
  </si>
  <si>
    <t xml:space="preserve">Итог за 2 года, ₽</t>
  </si>
  <si>
    <t xml:space="preserve">Итог в месяц в установившемся режиме, ₽</t>
  </si>
  <si>
    <t xml:space="preserve">Безубыточность за 2 года, п. п. прироста</t>
  </si>
  <si>
    <t xml:space="preserve">Прирост, при котором эффект за 24 месяца покрывает всю стоимость владения</t>
  </si>
  <si>
    <t xml:space="preserve">Покрытие эксплуатации, п. п. прироста</t>
  </si>
  <si>
    <t xml:space="preserve">Прирост, при котором ежемесячный эффект покрывает регулярные расходы (без возврата разовых)</t>
  </si>
  <si>
    <t xml:space="preserve">Базовый сценарий (Д-61): итог за 2 года, ₽</t>
  </si>
  <si>
    <t xml:space="preserve">Источники эффекта</t>
  </si>
  <si>
    <t xml:space="preserve">Учтён в деньгах</t>
  </si>
  <si>
    <t xml:space="preserve">Почему</t>
  </si>
  <si>
    <t xml:space="preserve">Рост доли эскалаций в разобранной выборке</t>
  </si>
  <si>
    <t xml:space="preserve">Да</t>
  </si>
  <si>
    <t xml:space="preserve">Есть baseline 4%, мощность 10 000 и ФОТ 45 млн ₽; эквивалент ручного разбора считается из кейса.</t>
  </si>
  <si>
    <t xml:space="preserve">Сокращение ручной работы на операцию</t>
  </si>
  <si>
    <t xml:space="preserve">Нет</t>
  </si>
  <si>
    <t xml:space="preserve">Сервис не меняет процедуру разбора; влияние кодов причин на 12 минут неизвестно, замеряется в пилоте.</t>
  </si>
  <si>
    <t xml:space="preserve">Более раннее выявление</t>
  </si>
  <si>
    <t xml:space="preserve">В кейсе нет стоимости задержки выявления.</t>
  </si>
  <si>
    <t xml:space="preserve">Снижение лишних приостановок и жалоб (~450 снятых из ~600, ~120 жалоб в месяц)</t>
  </si>
  <si>
    <t xml:space="preserve">Сервис не приостанавливает операции и не участвует в решении о приостановке; эффект не доказуем. Охраняется как guardrail.</t>
  </si>
  <si>
    <t xml:space="preserve">Ожидаемые регуляторные издержки (2 предписания за год)</t>
  </si>
  <si>
    <t xml:space="preserve">Прямые издержки предписаний в кейсе не даны; связь эскалаций с предписаниями не измерена.</t>
  </si>
  <si>
    <t xml:space="preserve">Стоимость единицы</t>
  </si>
  <si>
    <t xml:space="preserve">Показатель</t>
  </si>
  <si>
    <t xml:space="preserve">Регулярные расходы на одну помеченную операцию, ₽</t>
  </si>
  <si>
    <t xml:space="preserve">Установившиеся регулярные / Д-01</t>
  </si>
  <si>
    <t xml:space="preserve">Регулярные расходы на один разбор, ₽</t>
  </si>
  <si>
    <t xml:space="preserve">Установившиеся регулярные / Д-02</t>
  </si>
  <si>
    <t xml:space="preserve">То же к стоимости разбора сегодня</t>
  </si>
  <si>
    <t xml:space="preserve">к Д-90 (375 ₽)</t>
  </si>
  <si>
    <t xml:space="preserve">Стоимость владения за 2 года на одну помеченную операцию, ₽</t>
  </si>
  <si>
    <t xml:space="preserve">TCO 2 года / (Д-01 × 24)</t>
  </si>
  <si>
    <t xml:space="preserve">Целевой поток за 2 года, операций</t>
  </si>
  <si>
    <t xml:space="preserve">Д-01 × 24</t>
  </si>
  <si>
    <t xml:space="preserve">Стоимость владения целевого потока за 2 года, ₽</t>
  </si>
  <si>
    <t xml:space="preserve">TCO, лист TCO</t>
  </si>
  <si>
    <t xml:space="preserve">Регулярная стоимость дополнительной эскалации при базовом сценарии, ₽</t>
  </si>
  <si>
    <t xml:space="preserve">Установившиеся регулярные / доп. эскалаций</t>
  </si>
  <si>
    <t xml:space="preserve">Стоимость эскалации при текущем процессе, ₽</t>
  </si>
  <si>
    <t xml:space="preserve">Отклонённые варианты текстового звена по рыночным ценам</t>
  </si>
  <si>
    <t xml:space="preserve">Токенов на одно назначение платежа с инструкцией</t>
  </si>
  <si>
    <t xml:space="preserve">Вариант</t>
  </si>
  <si>
    <t xml:space="preserve">₽ в месяц</t>
  </si>
  <si>
    <t xml:space="preserve">Почему отклонён</t>
  </si>
  <si>
    <t xml:space="preserve">Внешняя LLM (GigaChat Pro) для назначения платежа</t>
  </si>
  <si>
    <t xml:space="preserve">Д-01 × токенов / 1 млн × М-06</t>
  </si>
  <si>
    <t xml:space="preserve">Дёшево, но сведения об операциях уходят за контур: ЖО-3 ADR-001. Цена не решает вопрос допустимости.</t>
  </si>
  <si>
    <t xml:space="preserve">Своя языковая модель на ВМ с A100 круглосуточно</t>
  </si>
  <si>
    <t xml:space="preserve">М-05 × Д-45</t>
  </si>
  <si>
    <t xml:space="preserve">Около трети всех регулярных расходов сервиса ради одного звена, где словарь не доказал недостаточности (Т3 в ADR-001); плюс эксплуатация GPU-контура, которого в банке нет (ВБ-20).</t>
  </si>
  <si>
    <t xml:space="preserve">Принято: словарь (Т1) в сервисе признаков</t>
  </si>
  <si>
    <t xml:space="preserve">входит в Р-05 и Р-20</t>
  </si>
  <si>
    <t xml:space="preserve">Без внешних вызовов и GPU.</t>
  </si>
  <si>
    <t xml:space="preserve">Чувствительность: какие допущения переворачивают вывод</t>
  </si>
  <si>
    <t xml:space="preserve">Изменение</t>
  </si>
  <si>
    <t xml:space="preserve">Месяцев эффекта</t>
  </si>
  <si>
    <t xml:space="preserve">Эффект на 1 п. п. в месяц, ₽</t>
  </si>
  <si>
    <t xml:space="preserve">Безубыточность за 2 года, п. п.</t>
  </si>
  <si>
    <t xml:space="preserve">Итог базового сценария (Д-61), ₽</t>
  </si>
  <si>
    <t xml:space="preserve">Базовый расчёт</t>
  </si>
  <si>
    <t xml:space="preserve">Интеграция вдвое дороже (Д-25, Д-26)</t>
  </si>
  <si>
    <t xml:space="preserve">+ Р-05 + Р-06</t>
  </si>
  <si>
    <t xml:space="preserve">Запуск в эксплуатацию на квартал позже (Д-30)</t>
  </si>
  <si>
    <t xml:space="preserve">−3 месяца эффекта и эксплуатации</t>
  </si>
  <si>
    <t xml:space="preserve">Поддержка и сопровождение вдвое больше (Д-50, Д-51)</t>
  </si>
  <si>
    <t xml:space="preserve">+ (Р-24 + Р-25) × месяцев эксплуатации</t>
  </si>
  <si>
    <t xml:space="preserve">Поддержка и сопровождение силами существующей платформенной команды: вдвое меньше</t>
  </si>
  <si>
    <t xml:space="preserve">− (Р-24 + Р-25) / 2 × месяцев эксплуатации</t>
  </si>
  <si>
    <t xml:space="preserve">Бизнес ценит эскалацию вдвое ниже эквивалента ручного разбора (Д-60)</t>
  </si>
  <si>
    <t xml:space="preserve">эффект на 1 п. п. × 0,5</t>
  </si>
  <si>
    <t xml:space="preserve">Ставки DS и разработки в 1,5 раза выше (Д-10, Д-11)</t>
  </si>
  <si>
    <t xml:space="preserve">оценка сверху: × 1,5 к статьям с этими ставками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</si>
</sst>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#,##0;\(#,##0\);\-"/>
    <numFmt numFmtId="167" formatCode="0.0%;\(0.0%\);\-"/>
    <numFmt numFmtId="168" formatCode="0.00;\(0.00\);\-"/>
    <numFmt numFmtId="169" formatCode="#,##0.0;\(#,##0.0\);\-"/>
    <numFmt numFmtId="170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3" t="s">
        <v>4</v>
      </c>
    </row>
    <row r="5" customFormat="false" ht="15" hidden="false" customHeight="false" outlineLevel="0" collapsed="false">
      <c r="A5" s="5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34"/>
    <col collapsed="false" customWidth="true" hidden="false" outlineLevel="0" max="7" min="7" style="0" width="46"/>
  </cols>
  <sheetData>
    <row r="1" customFormat="false" ht="16.15" hidden="false" customHeight="false" outlineLevel="0" collapsed="false">
      <c r="A1" s="1" t="s">
        <v>21</v>
      </c>
    </row>
    <row r="3" customFormat="false" ht="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15</v>
      </c>
      <c r="E3" s="6" t="s">
        <v>25</v>
      </c>
      <c r="F3" s="6" t="s">
        <v>26</v>
      </c>
      <c r="G3" s="6" t="s">
        <v>27</v>
      </c>
    </row>
    <row r="4" customFormat="false" ht="26.85" hidden="false" customHeight="false" outlineLevel="0" collapsed="false">
      <c r="A4" s="7" t="s">
        <v>28</v>
      </c>
      <c r="B4" s="7" t="s">
        <v>29</v>
      </c>
      <c r="C4" s="8" t="n">
        <v>1.24</v>
      </c>
      <c r="D4" s="7" t="s">
        <v>30</v>
      </c>
      <c r="E4" s="7" t="s">
        <v>31</v>
      </c>
      <c r="F4" s="7" t="s">
        <v>32</v>
      </c>
      <c r="G4" s="7" t="s">
        <v>33</v>
      </c>
    </row>
    <row r="5" customFormat="false" ht="26.85" hidden="false" customHeight="false" outlineLevel="0" collapsed="false">
      <c r="A5" s="7" t="s">
        <v>34</v>
      </c>
      <c r="B5" s="7" t="s">
        <v>35</v>
      </c>
      <c r="C5" s="8" t="n">
        <v>0.33</v>
      </c>
      <c r="D5" s="7" t="s">
        <v>30</v>
      </c>
      <c r="E5" s="7" t="s">
        <v>31</v>
      </c>
      <c r="F5" s="7" t="s">
        <v>32</v>
      </c>
      <c r="G5" s="7" t="s">
        <v>36</v>
      </c>
    </row>
    <row r="6" customFormat="false" ht="26.85" hidden="false" customHeight="false" outlineLevel="0" collapsed="false">
      <c r="A6" s="7" t="s">
        <v>37</v>
      </c>
      <c r="B6" s="7" t="s">
        <v>38</v>
      </c>
      <c r="C6" s="8" t="n">
        <v>1.2444</v>
      </c>
      <c r="D6" s="7" t="s">
        <v>30</v>
      </c>
      <c r="E6" s="7" t="s">
        <v>39</v>
      </c>
      <c r="F6" s="7" t="s">
        <v>40</v>
      </c>
      <c r="G6" s="7" t="s">
        <v>41</v>
      </c>
    </row>
    <row r="7" customFormat="false" ht="26.85" hidden="false" customHeight="false" outlineLevel="0" collapsed="false">
      <c r="A7" s="7" t="s">
        <v>42</v>
      </c>
      <c r="B7" s="7" t="s">
        <v>43</v>
      </c>
      <c r="C7" s="8" t="n">
        <v>26800</v>
      </c>
      <c r="D7" s="7" t="s">
        <v>44</v>
      </c>
      <c r="E7" s="7" t="s">
        <v>45</v>
      </c>
      <c r="F7" s="7" t="s">
        <v>46</v>
      </c>
      <c r="G7" s="7" t="s">
        <v>47</v>
      </c>
    </row>
    <row r="8" customFormat="false" ht="26.85" hidden="false" customHeight="false" outlineLevel="0" collapsed="false">
      <c r="A8" s="7" t="s">
        <v>48</v>
      </c>
      <c r="B8" s="7" t="s">
        <v>49</v>
      </c>
      <c r="C8" s="8" t="n">
        <v>456.9</v>
      </c>
      <c r="D8" s="7" t="s">
        <v>50</v>
      </c>
      <c r="E8" s="7" t="s">
        <v>51</v>
      </c>
      <c r="F8" s="7" t="s">
        <v>52</v>
      </c>
      <c r="G8" s="7" t="s">
        <v>53</v>
      </c>
    </row>
    <row r="9" customFormat="false" ht="26.85" hidden="false" customHeight="false" outlineLevel="0" collapsed="false">
      <c r="A9" s="7" t="s">
        <v>54</v>
      </c>
      <c r="B9" s="7" t="s">
        <v>55</v>
      </c>
      <c r="C9" s="8" t="n">
        <v>500</v>
      </c>
      <c r="D9" s="7" t="s">
        <v>56</v>
      </c>
      <c r="E9" s="7" t="s">
        <v>57</v>
      </c>
      <c r="F9" s="7" t="s">
        <v>58</v>
      </c>
      <c r="G9" s="7" t="s">
        <v>59</v>
      </c>
    </row>
    <row r="10" customFormat="false" ht="26.85" hidden="false" customHeight="false" outlineLevel="0" collapsed="false">
      <c r="A10" s="7" t="s">
        <v>60</v>
      </c>
      <c r="B10" s="7" t="s">
        <v>61</v>
      </c>
      <c r="C10" s="8" t="n">
        <v>65</v>
      </c>
      <c r="D10" s="7" t="s">
        <v>56</v>
      </c>
      <c r="E10" s="7" t="s">
        <v>57</v>
      </c>
      <c r="F10" s="7" t="s">
        <v>58</v>
      </c>
      <c r="G10" s="7" t="s">
        <v>36</v>
      </c>
    </row>
    <row r="11" customFormat="false" ht="26.85" hidden="false" customHeight="false" outlineLevel="0" collapsed="false">
      <c r="A11" s="7" t="s">
        <v>62</v>
      </c>
      <c r="B11" s="7" t="s">
        <v>63</v>
      </c>
      <c r="C11" s="8" t="n">
        <v>14</v>
      </c>
      <c r="D11" s="7" t="s">
        <v>56</v>
      </c>
      <c r="E11" s="7" t="s">
        <v>57</v>
      </c>
      <c r="F11" s="7" t="s">
        <v>58</v>
      </c>
      <c r="G11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14"/>
    <col collapsed="false" customWidth="true" hidden="false" outlineLevel="0" max="7" min="7" style="0" width="46"/>
  </cols>
  <sheetData>
    <row r="1" customFormat="false" ht="16.15" hidden="false" customHeight="false" outlineLevel="0" collapsed="false">
      <c r="A1" s="1" t="s">
        <v>64</v>
      </c>
    </row>
    <row r="3" customFormat="false" ht="26.85" hidden="false" customHeight="false" outlineLevel="0" collapsed="false">
      <c r="A3" s="6" t="s">
        <v>22</v>
      </c>
      <c r="B3" s="6" t="s">
        <v>65</v>
      </c>
      <c r="C3" s="6" t="s">
        <v>66</v>
      </c>
      <c r="D3" s="6" t="s">
        <v>15</v>
      </c>
      <c r="E3" s="6" t="s">
        <v>25</v>
      </c>
      <c r="F3" s="6" t="s">
        <v>67</v>
      </c>
      <c r="G3" s="6" t="s">
        <v>68</v>
      </c>
    </row>
    <row r="4" customFormat="false" ht="15" hidden="false" customHeight="false" outlineLevel="0" collapsed="false">
      <c r="A4" s="9" t="s">
        <v>69</v>
      </c>
      <c r="B4" s="7" t="s">
        <v>70</v>
      </c>
      <c r="C4" s="10" t="n">
        <v>35000</v>
      </c>
      <c r="D4" s="7" t="s">
        <v>71</v>
      </c>
      <c r="E4" s="7" t="s">
        <v>72</v>
      </c>
      <c r="F4" s="7" t="s">
        <v>73</v>
      </c>
      <c r="G4" s="7"/>
    </row>
    <row r="5" customFormat="false" ht="15" hidden="false" customHeight="false" outlineLevel="0" collapsed="false">
      <c r="A5" s="9" t="s">
        <v>74</v>
      </c>
      <c r="B5" s="7" t="s">
        <v>75</v>
      </c>
      <c r="C5" s="10" t="n">
        <v>10000</v>
      </c>
      <c r="D5" s="7" t="s">
        <v>71</v>
      </c>
      <c r="E5" s="7" t="s">
        <v>72</v>
      </c>
      <c r="F5" s="7" t="s">
        <v>76</v>
      </c>
      <c r="G5" s="7" t="s">
        <v>77</v>
      </c>
    </row>
    <row r="6" customFormat="false" ht="26.85" hidden="false" customHeight="false" outlineLevel="0" collapsed="false">
      <c r="A6" s="9" t="s">
        <v>78</v>
      </c>
      <c r="B6" s="7" t="s">
        <v>79</v>
      </c>
      <c r="C6" s="10" t="n">
        <v>45000000</v>
      </c>
      <c r="D6" s="7" t="s">
        <v>80</v>
      </c>
      <c r="E6" s="7" t="s">
        <v>72</v>
      </c>
      <c r="F6" s="7" t="s">
        <v>76</v>
      </c>
      <c r="G6" s="7" t="s">
        <v>81</v>
      </c>
    </row>
    <row r="7" customFormat="false" ht="15" hidden="false" customHeight="false" outlineLevel="0" collapsed="false">
      <c r="A7" s="9" t="s">
        <v>82</v>
      </c>
      <c r="B7" s="7" t="s">
        <v>83</v>
      </c>
      <c r="C7" s="11" t="n">
        <v>0.04</v>
      </c>
      <c r="D7" s="7" t="s">
        <v>84</v>
      </c>
      <c r="E7" s="7" t="s">
        <v>72</v>
      </c>
      <c r="F7" s="7" t="s">
        <v>73</v>
      </c>
      <c r="G7" s="7" t="s">
        <v>85</v>
      </c>
    </row>
    <row r="8" customFormat="false" ht="15" hidden="false" customHeight="false" outlineLevel="0" collapsed="false">
      <c r="A8" s="9" t="s">
        <v>86</v>
      </c>
      <c r="B8" s="7" t="s">
        <v>87</v>
      </c>
      <c r="C8" s="10" t="n">
        <v>25</v>
      </c>
      <c r="D8" s="7" t="s">
        <v>88</v>
      </c>
      <c r="E8" s="7" t="s">
        <v>72</v>
      </c>
      <c r="F8" s="7" t="s">
        <v>89</v>
      </c>
      <c r="G8" s="7"/>
    </row>
    <row r="9" customFormat="false" ht="15" hidden="false" customHeight="false" outlineLevel="0" collapsed="false">
      <c r="A9" s="9" t="s">
        <v>90</v>
      </c>
      <c r="B9" s="7" t="s">
        <v>91</v>
      </c>
      <c r="C9" s="10" t="n">
        <v>500</v>
      </c>
      <c r="D9" s="7" t="s">
        <v>92</v>
      </c>
      <c r="E9" s="7" t="s">
        <v>93</v>
      </c>
      <c r="F9" s="7" t="s">
        <v>73</v>
      </c>
      <c r="G9" s="7" t="s">
        <v>94</v>
      </c>
    </row>
    <row r="10" customFormat="false" ht="15" hidden="false" customHeight="false" outlineLevel="0" collapsed="false">
      <c r="A10" s="9" t="s">
        <v>95</v>
      </c>
      <c r="B10" s="7" t="s">
        <v>96</v>
      </c>
      <c r="C10" s="11" t="n">
        <v>0.1</v>
      </c>
      <c r="D10" s="7" t="s">
        <v>84</v>
      </c>
      <c r="E10" s="7" t="s">
        <v>93</v>
      </c>
      <c r="F10" s="7" t="s">
        <v>89</v>
      </c>
      <c r="G10" s="7"/>
    </row>
    <row r="11" customFormat="false" ht="26.85" hidden="false" customHeight="false" outlineLevel="0" collapsed="false">
      <c r="A11" s="9" t="s">
        <v>97</v>
      </c>
      <c r="B11" s="7" t="s">
        <v>98</v>
      </c>
      <c r="C11" s="10" t="n">
        <v>3500</v>
      </c>
      <c r="D11" s="7" t="s">
        <v>30</v>
      </c>
      <c r="E11" s="7" t="s">
        <v>99</v>
      </c>
      <c r="F11" s="7" t="s">
        <v>73</v>
      </c>
      <c r="G11" s="7"/>
    </row>
    <row r="12" customFormat="false" ht="15" hidden="false" customHeight="false" outlineLevel="0" collapsed="false">
      <c r="A12" s="9" t="s">
        <v>100</v>
      </c>
      <c r="B12" s="7" t="s">
        <v>101</v>
      </c>
      <c r="C12" s="10" t="n">
        <v>3000</v>
      </c>
      <c r="D12" s="7" t="s">
        <v>30</v>
      </c>
      <c r="E12" s="7" t="s">
        <v>102</v>
      </c>
      <c r="F12" s="7" t="s">
        <v>73</v>
      </c>
      <c r="G12" s="7"/>
    </row>
    <row r="13" customFormat="false" ht="15" hidden="false" customHeight="false" outlineLevel="0" collapsed="false">
      <c r="A13" s="9" t="s">
        <v>103</v>
      </c>
      <c r="B13" s="7" t="s">
        <v>104</v>
      </c>
      <c r="C13" s="10" t="n">
        <v>3000</v>
      </c>
      <c r="D13" s="7" t="s">
        <v>30</v>
      </c>
      <c r="E13" s="7" t="s">
        <v>102</v>
      </c>
      <c r="F13" s="7" t="s">
        <v>89</v>
      </c>
      <c r="G13" s="7"/>
    </row>
    <row r="14" customFormat="false" ht="15" hidden="false" customHeight="false" outlineLevel="0" collapsed="false">
      <c r="A14" s="9" t="s">
        <v>105</v>
      </c>
      <c r="B14" s="7" t="s">
        <v>106</v>
      </c>
      <c r="C14" s="10" t="n">
        <v>3500</v>
      </c>
      <c r="D14" s="7" t="s">
        <v>30</v>
      </c>
      <c r="E14" s="7" t="s">
        <v>102</v>
      </c>
      <c r="F14" s="7" t="s">
        <v>89</v>
      </c>
      <c r="G14" s="7"/>
    </row>
    <row r="15" customFormat="false" ht="15" hidden="false" customHeight="false" outlineLevel="0" collapsed="false">
      <c r="A15" s="9" t="s">
        <v>107</v>
      </c>
      <c r="B15" s="7" t="s">
        <v>108</v>
      </c>
      <c r="C15" s="10" t="n">
        <v>165</v>
      </c>
      <c r="D15" s="7" t="s">
        <v>109</v>
      </c>
      <c r="E15" s="7" t="s">
        <v>102</v>
      </c>
      <c r="F15" s="7" t="s">
        <v>89</v>
      </c>
      <c r="G15" s="7"/>
    </row>
    <row r="16" customFormat="false" ht="15" hidden="false" customHeight="false" outlineLevel="0" collapsed="false">
      <c r="A16" s="9" t="s">
        <v>110</v>
      </c>
      <c r="B16" s="7" t="s">
        <v>111</v>
      </c>
      <c r="C16" s="10" t="n">
        <v>480</v>
      </c>
      <c r="D16" s="7" t="s">
        <v>112</v>
      </c>
      <c r="E16" s="7" t="s">
        <v>102</v>
      </c>
      <c r="F16" s="7" t="s">
        <v>73</v>
      </c>
      <c r="G16" s="7"/>
    </row>
    <row r="17" customFormat="false" ht="15" hidden="false" customHeight="false" outlineLevel="0" collapsed="false">
      <c r="A17" s="9" t="s">
        <v>113</v>
      </c>
      <c r="B17" s="7" t="s">
        <v>114</v>
      </c>
      <c r="C17" s="10" t="n">
        <v>80</v>
      </c>
      <c r="D17" s="7" t="s">
        <v>115</v>
      </c>
      <c r="E17" s="7" t="s">
        <v>102</v>
      </c>
      <c r="F17" s="7" t="s">
        <v>89</v>
      </c>
      <c r="G17" s="7"/>
    </row>
    <row r="18" customFormat="false" ht="15" hidden="false" customHeight="false" outlineLevel="0" collapsed="false">
      <c r="A18" s="9" t="s">
        <v>116</v>
      </c>
      <c r="B18" s="7" t="s">
        <v>117</v>
      </c>
      <c r="C18" s="10" t="n">
        <v>40</v>
      </c>
      <c r="D18" s="7" t="s">
        <v>109</v>
      </c>
      <c r="E18" s="7" t="s">
        <v>102</v>
      </c>
      <c r="F18" s="7" t="s">
        <v>89</v>
      </c>
      <c r="G18" s="7"/>
    </row>
    <row r="19" customFormat="false" ht="15" hidden="false" customHeight="false" outlineLevel="0" collapsed="false">
      <c r="A19" s="9" t="s">
        <v>118</v>
      </c>
      <c r="B19" s="7" t="s">
        <v>119</v>
      </c>
      <c r="C19" s="10" t="n">
        <v>120</v>
      </c>
      <c r="D19" s="7" t="s">
        <v>120</v>
      </c>
      <c r="E19" s="7" t="s">
        <v>102</v>
      </c>
      <c r="F19" s="7" t="s">
        <v>89</v>
      </c>
      <c r="G19" s="7"/>
    </row>
    <row r="20" customFormat="false" ht="15" hidden="false" customHeight="false" outlineLevel="0" collapsed="false">
      <c r="A20" s="9" t="s">
        <v>121</v>
      </c>
      <c r="B20" s="7" t="s">
        <v>122</v>
      </c>
      <c r="C20" s="10" t="n">
        <v>480</v>
      </c>
      <c r="D20" s="7" t="s">
        <v>120</v>
      </c>
      <c r="E20" s="7" t="s">
        <v>102</v>
      </c>
      <c r="F20" s="7" t="s">
        <v>73</v>
      </c>
      <c r="G20" s="7"/>
    </row>
    <row r="21" customFormat="false" ht="26.85" hidden="false" customHeight="false" outlineLevel="0" collapsed="false">
      <c r="A21" s="9" t="s">
        <v>123</v>
      </c>
      <c r="B21" s="7" t="s">
        <v>124</v>
      </c>
      <c r="C21" s="10" t="n">
        <v>1280</v>
      </c>
      <c r="D21" s="7" t="s">
        <v>125</v>
      </c>
      <c r="E21" s="7" t="s">
        <v>126</v>
      </c>
      <c r="F21" s="7" t="s">
        <v>76</v>
      </c>
      <c r="G21" s="7" t="s">
        <v>127</v>
      </c>
    </row>
    <row r="22" customFormat="false" ht="26.85" hidden="false" customHeight="false" outlineLevel="0" collapsed="false">
      <c r="A22" s="9" t="s">
        <v>128</v>
      </c>
      <c r="B22" s="7" t="s">
        <v>129</v>
      </c>
      <c r="C22" s="10" t="n">
        <v>400</v>
      </c>
      <c r="D22" s="7" t="s">
        <v>125</v>
      </c>
      <c r="E22" s="7" t="s">
        <v>130</v>
      </c>
      <c r="F22" s="7" t="s">
        <v>76</v>
      </c>
      <c r="G22" s="7" t="s">
        <v>131</v>
      </c>
    </row>
    <row r="23" customFormat="false" ht="26.85" hidden="false" customHeight="false" outlineLevel="0" collapsed="false">
      <c r="A23" s="9" t="s">
        <v>132</v>
      </c>
      <c r="B23" s="7" t="s">
        <v>133</v>
      </c>
      <c r="C23" s="10" t="n">
        <v>4</v>
      </c>
      <c r="D23" s="7" t="s">
        <v>134</v>
      </c>
      <c r="E23" s="7" t="s">
        <v>102</v>
      </c>
      <c r="F23" s="7" t="s">
        <v>89</v>
      </c>
      <c r="G23" s="7"/>
    </row>
    <row r="24" customFormat="false" ht="15" hidden="false" customHeight="false" outlineLevel="0" collapsed="false">
      <c r="A24" s="9" t="s">
        <v>135</v>
      </c>
      <c r="B24" s="7" t="s">
        <v>136</v>
      </c>
      <c r="C24" s="10" t="n">
        <v>160</v>
      </c>
      <c r="D24" s="7" t="s">
        <v>125</v>
      </c>
      <c r="E24" s="7" t="s">
        <v>102</v>
      </c>
      <c r="F24" s="7" t="s">
        <v>89</v>
      </c>
      <c r="G24" s="7"/>
    </row>
    <row r="25" customFormat="false" ht="26.85" hidden="false" customHeight="false" outlineLevel="0" collapsed="false">
      <c r="A25" s="9" t="s">
        <v>137</v>
      </c>
      <c r="B25" s="7" t="s">
        <v>138</v>
      </c>
      <c r="C25" s="10" t="n">
        <v>160</v>
      </c>
      <c r="D25" s="7" t="s">
        <v>139</v>
      </c>
      <c r="E25" s="7" t="s">
        <v>102</v>
      </c>
      <c r="F25" s="7" t="s">
        <v>89</v>
      </c>
      <c r="G25" s="7"/>
    </row>
    <row r="26" customFormat="false" ht="26.85" hidden="false" customHeight="false" outlineLevel="0" collapsed="false">
      <c r="A26" s="9" t="s">
        <v>140</v>
      </c>
      <c r="B26" s="7" t="s">
        <v>141</v>
      </c>
      <c r="C26" s="10" t="n">
        <v>160</v>
      </c>
      <c r="D26" s="7" t="s">
        <v>109</v>
      </c>
      <c r="E26" s="7" t="s">
        <v>102</v>
      </c>
      <c r="F26" s="7" t="s">
        <v>73</v>
      </c>
      <c r="G26" s="7"/>
    </row>
    <row r="27" customFormat="false" ht="15" hidden="false" customHeight="false" outlineLevel="0" collapsed="false">
      <c r="A27" s="9" t="s">
        <v>142</v>
      </c>
      <c r="B27" s="7" t="s">
        <v>143</v>
      </c>
      <c r="C27" s="10" t="n">
        <v>160</v>
      </c>
      <c r="D27" s="7" t="s">
        <v>120</v>
      </c>
      <c r="E27" s="7" t="s">
        <v>102</v>
      </c>
      <c r="F27" s="7" t="s">
        <v>89</v>
      </c>
      <c r="G27" s="7"/>
    </row>
    <row r="28" customFormat="false" ht="26.85" hidden="false" customHeight="false" outlineLevel="0" collapsed="false">
      <c r="A28" s="9" t="s">
        <v>144</v>
      </c>
      <c r="B28" s="7" t="s">
        <v>145</v>
      </c>
      <c r="C28" s="10" t="n">
        <v>80</v>
      </c>
      <c r="D28" s="7" t="s">
        <v>120</v>
      </c>
      <c r="E28" s="7" t="s">
        <v>102</v>
      </c>
      <c r="F28" s="7" t="s">
        <v>89</v>
      </c>
      <c r="G28" s="7"/>
    </row>
    <row r="29" customFormat="false" ht="15" hidden="false" customHeight="false" outlineLevel="0" collapsed="false">
      <c r="A29" s="9" t="s">
        <v>146</v>
      </c>
      <c r="B29" s="7" t="s">
        <v>147</v>
      </c>
      <c r="C29" s="10" t="n">
        <v>10</v>
      </c>
      <c r="D29" s="7" t="s">
        <v>148</v>
      </c>
      <c r="E29" s="7" t="s">
        <v>149</v>
      </c>
      <c r="F29" s="7" t="s">
        <v>76</v>
      </c>
      <c r="G29" s="7" t="s">
        <v>150</v>
      </c>
    </row>
    <row r="30" customFormat="false" ht="15" hidden="false" customHeight="false" outlineLevel="0" collapsed="false">
      <c r="A30" s="9" t="s">
        <v>151</v>
      </c>
      <c r="B30" s="7" t="s">
        <v>152</v>
      </c>
      <c r="C30" s="10" t="n">
        <v>7</v>
      </c>
      <c r="D30" s="7" t="s">
        <v>148</v>
      </c>
      <c r="E30" s="7" t="s">
        <v>102</v>
      </c>
      <c r="F30" s="7" t="s">
        <v>89</v>
      </c>
      <c r="G30" s="7"/>
    </row>
    <row r="31" customFormat="false" ht="15" hidden="false" customHeight="false" outlineLevel="0" collapsed="false">
      <c r="A31" s="9" t="s">
        <v>153</v>
      </c>
      <c r="B31" s="7" t="s">
        <v>154</v>
      </c>
      <c r="C31" s="10" t="n">
        <v>32</v>
      </c>
      <c r="D31" s="7" t="s">
        <v>155</v>
      </c>
      <c r="E31" s="7" t="s">
        <v>102</v>
      </c>
      <c r="F31" s="7" t="s">
        <v>89</v>
      </c>
      <c r="G31" s="7" t="s">
        <v>156</v>
      </c>
    </row>
    <row r="32" customFormat="false" ht="15" hidden="false" customHeight="false" outlineLevel="0" collapsed="false">
      <c r="A32" s="9" t="s">
        <v>157</v>
      </c>
      <c r="B32" s="7" t="s">
        <v>158</v>
      </c>
      <c r="C32" s="10" t="n">
        <v>128</v>
      </c>
      <c r="D32" s="7" t="s">
        <v>159</v>
      </c>
      <c r="E32" s="7" t="s">
        <v>102</v>
      </c>
      <c r="F32" s="7" t="s">
        <v>89</v>
      </c>
      <c r="G32" s="7"/>
    </row>
    <row r="33" customFormat="false" ht="15" hidden="false" customHeight="false" outlineLevel="0" collapsed="false">
      <c r="A33" s="9" t="s">
        <v>160</v>
      </c>
      <c r="B33" s="7" t="s">
        <v>161</v>
      </c>
      <c r="C33" s="10" t="n">
        <v>16</v>
      </c>
      <c r="D33" s="7" t="s">
        <v>155</v>
      </c>
      <c r="E33" s="7" t="s">
        <v>102</v>
      </c>
      <c r="F33" s="7" t="s">
        <v>89</v>
      </c>
      <c r="G33" s="7"/>
    </row>
    <row r="34" customFormat="false" ht="15" hidden="false" customHeight="false" outlineLevel="0" collapsed="false">
      <c r="A34" s="9" t="s">
        <v>162</v>
      </c>
      <c r="B34" s="7" t="s">
        <v>163</v>
      </c>
      <c r="C34" s="10" t="n">
        <v>64</v>
      </c>
      <c r="D34" s="7" t="s">
        <v>159</v>
      </c>
      <c r="E34" s="7" t="s">
        <v>102</v>
      </c>
      <c r="F34" s="7" t="s">
        <v>89</v>
      </c>
      <c r="G34" s="7"/>
    </row>
    <row r="35" customFormat="false" ht="15" hidden="false" customHeight="false" outlineLevel="0" collapsed="false">
      <c r="A35" s="9" t="s">
        <v>164</v>
      </c>
      <c r="B35" s="7" t="s">
        <v>165</v>
      </c>
      <c r="C35" s="11" t="n">
        <v>0.2</v>
      </c>
      <c r="D35" s="7" t="s">
        <v>84</v>
      </c>
      <c r="E35" s="7" t="s">
        <v>102</v>
      </c>
      <c r="F35" s="7" t="s">
        <v>89</v>
      </c>
      <c r="G35" s="7"/>
    </row>
    <row r="36" customFormat="false" ht="15" hidden="false" customHeight="false" outlineLevel="0" collapsed="false">
      <c r="A36" s="9" t="s">
        <v>166</v>
      </c>
      <c r="B36" s="7" t="s">
        <v>167</v>
      </c>
      <c r="C36" s="10" t="n">
        <v>730</v>
      </c>
      <c r="D36" s="7" t="s">
        <v>109</v>
      </c>
      <c r="E36" s="7" t="s">
        <v>168</v>
      </c>
      <c r="F36" s="7" t="s">
        <v>89</v>
      </c>
      <c r="G36" s="7"/>
    </row>
    <row r="37" customFormat="false" ht="26.85" hidden="false" customHeight="false" outlineLevel="0" collapsed="false">
      <c r="A37" s="9" t="s">
        <v>169</v>
      </c>
      <c r="B37" s="7" t="s">
        <v>170</v>
      </c>
      <c r="C37" s="12" t="n">
        <v>1</v>
      </c>
      <c r="D37" s="7" t="s">
        <v>171</v>
      </c>
      <c r="E37" s="7" t="s">
        <v>172</v>
      </c>
      <c r="F37" s="7" t="s">
        <v>89</v>
      </c>
      <c r="G37" s="7" t="s">
        <v>173</v>
      </c>
    </row>
    <row r="38" customFormat="false" ht="26.85" hidden="false" customHeight="false" outlineLevel="0" collapsed="false">
      <c r="A38" s="9" t="s">
        <v>174</v>
      </c>
      <c r="B38" s="7" t="s">
        <v>175</v>
      </c>
      <c r="C38" s="12" t="n">
        <v>0.5</v>
      </c>
      <c r="D38" s="7" t="s">
        <v>176</v>
      </c>
      <c r="E38" s="7" t="s">
        <v>102</v>
      </c>
      <c r="F38" s="7" t="s">
        <v>76</v>
      </c>
      <c r="G38" s="7"/>
    </row>
    <row r="39" customFormat="false" ht="26.85" hidden="false" customHeight="false" outlineLevel="0" collapsed="false">
      <c r="A39" s="9" t="s">
        <v>177</v>
      </c>
      <c r="B39" s="7" t="s">
        <v>178</v>
      </c>
      <c r="C39" s="12" t="n">
        <v>0.5</v>
      </c>
      <c r="D39" s="7" t="s">
        <v>179</v>
      </c>
      <c r="E39" s="7" t="s">
        <v>102</v>
      </c>
      <c r="F39" s="7" t="s">
        <v>76</v>
      </c>
      <c r="G39" s="7"/>
    </row>
    <row r="40" customFormat="false" ht="15" hidden="false" customHeight="false" outlineLevel="0" collapsed="false">
      <c r="A40" s="9" t="s">
        <v>180</v>
      </c>
      <c r="B40" s="7" t="s">
        <v>181</v>
      </c>
      <c r="C40" s="10" t="n">
        <v>4</v>
      </c>
      <c r="D40" s="7" t="s">
        <v>182</v>
      </c>
      <c r="E40" s="7" t="s">
        <v>183</v>
      </c>
      <c r="F40" s="7" t="s">
        <v>89</v>
      </c>
      <c r="G40" s="7"/>
    </row>
    <row r="41" customFormat="false" ht="26.85" hidden="false" customHeight="false" outlineLevel="0" collapsed="false">
      <c r="A41" s="9" t="s">
        <v>184</v>
      </c>
      <c r="B41" s="7" t="s">
        <v>185</v>
      </c>
      <c r="C41" s="10" t="n">
        <v>40</v>
      </c>
      <c r="D41" s="7" t="s">
        <v>120</v>
      </c>
      <c r="E41" s="7" t="s">
        <v>102</v>
      </c>
      <c r="F41" s="7" t="s">
        <v>89</v>
      </c>
      <c r="G41" s="7"/>
    </row>
    <row r="42" customFormat="false" ht="15" hidden="false" customHeight="false" outlineLevel="0" collapsed="false">
      <c r="A42" s="9" t="s">
        <v>186</v>
      </c>
      <c r="B42" s="7" t="s">
        <v>187</v>
      </c>
      <c r="C42" s="10" t="n">
        <v>80</v>
      </c>
      <c r="D42" s="7" t="s">
        <v>139</v>
      </c>
      <c r="E42" s="7" t="s">
        <v>102</v>
      </c>
      <c r="F42" s="7" t="s">
        <v>89</v>
      </c>
      <c r="G42" s="7"/>
    </row>
    <row r="43" customFormat="false" ht="15" hidden="false" customHeight="false" outlineLevel="0" collapsed="false">
      <c r="A43" s="9" t="s">
        <v>188</v>
      </c>
      <c r="B43" s="7" t="s">
        <v>189</v>
      </c>
      <c r="C43" s="10" t="n">
        <v>40</v>
      </c>
      <c r="D43" s="7" t="s">
        <v>109</v>
      </c>
      <c r="E43" s="7" t="s">
        <v>102</v>
      </c>
      <c r="F43" s="7" t="s">
        <v>89</v>
      </c>
      <c r="G43" s="7"/>
    </row>
    <row r="44" customFormat="false" ht="15" hidden="false" customHeight="false" outlineLevel="0" collapsed="false">
      <c r="A44" s="9" t="s">
        <v>190</v>
      </c>
      <c r="B44" s="7" t="s">
        <v>191</v>
      </c>
      <c r="C44" s="10" t="n">
        <v>40</v>
      </c>
      <c r="D44" s="7" t="s">
        <v>192</v>
      </c>
      <c r="E44" s="7" t="s">
        <v>102</v>
      </c>
      <c r="F44" s="7" t="s">
        <v>89</v>
      </c>
      <c r="G44" s="7"/>
    </row>
    <row r="45" customFormat="false" ht="39.55" hidden="false" customHeight="false" outlineLevel="0" collapsed="false">
      <c r="A45" s="9" t="s">
        <v>193</v>
      </c>
      <c r="B45" s="7" t="s">
        <v>194</v>
      </c>
      <c r="C45" s="7" t="s">
        <v>195</v>
      </c>
      <c r="D45" s="7"/>
      <c r="E45" s="7" t="s">
        <v>196</v>
      </c>
      <c r="F45" s="7" t="s">
        <v>76</v>
      </c>
      <c r="G45" s="7" t="s">
        <v>197</v>
      </c>
    </row>
    <row r="46" customFormat="false" ht="15" hidden="false" customHeight="false" outlineLevel="0" collapsed="false">
      <c r="A46" s="9" t="s">
        <v>198</v>
      </c>
      <c r="B46" s="7" t="s">
        <v>199</v>
      </c>
      <c r="C46" s="11" t="n">
        <v>0.02</v>
      </c>
      <c r="D46" s="7" t="s">
        <v>200</v>
      </c>
      <c r="E46" s="7" t="s">
        <v>201</v>
      </c>
      <c r="F46" s="7" t="s">
        <v>76</v>
      </c>
      <c r="G46" s="7" t="s">
        <v>202</v>
      </c>
    </row>
    <row r="48" customFormat="false" ht="15" hidden="false" customHeight="false" outlineLevel="0" collapsed="false">
      <c r="B48" s="9" t="s">
        <v>203</v>
      </c>
    </row>
    <row r="49" customFormat="false" ht="15" hidden="false" customHeight="false" outlineLevel="0" collapsed="false">
      <c r="A49" s="9" t="s">
        <v>204</v>
      </c>
      <c r="B49" s="7" t="s">
        <v>205</v>
      </c>
      <c r="C49" s="13" t="n">
        <f aca="false">Допущения!$C$6/12/Допущения!$C$5</f>
        <v>375</v>
      </c>
      <c r="D49" s="7" t="s">
        <v>206</v>
      </c>
      <c r="E49" s="7" t="s">
        <v>207</v>
      </c>
    </row>
    <row r="50" customFormat="false" ht="15" hidden="false" customHeight="false" outlineLevel="0" collapsed="false">
      <c r="A50" s="9" t="s">
        <v>208</v>
      </c>
      <c r="B50" s="7" t="s">
        <v>209</v>
      </c>
      <c r="C50" s="13" t="n">
        <f aca="false">Допущения!$C$49*60/12</f>
        <v>1875</v>
      </c>
      <c r="D50" s="7" t="s">
        <v>30</v>
      </c>
      <c r="E50" s="7" t="s">
        <v>207</v>
      </c>
    </row>
    <row r="51" customFormat="false" ht="26.85" hidden="false" customHeight="false" outlineLevel="0" collapsed="false">
      <c r="A51" s="9" t="s">
        <v>210</v>
      </c>
      <c r="B51" s="7" t="s">
        <v>211</v>
      </c>
      <c r="C51" s="13" t="n">
        <f aca="false">Допущения!$C$6/12/(Допущения!$C$5*Допущения!$C$7)</f>
        <v>9375</v>
      </c>
      <c r="D51" s="7" t="s">
        <v>206</v>
      </c>
      <c r="E51" s="7" t="s">
        <v>207</v>
      </c>
    </row>
    <row r="52" customFormat="false" ht="15" hidden="false" customHeight="false" outlineLevel="0" collapsed="false">
      <c r="A52" s="9" t="s">
        <v>212</v>
      </c>
      <c r="B52" s="7" t="s">
        <v>213</v>
      </c>
      <c r="C52" s="13" t="n">
        <f aca="false">Допущения!$C$5-Допущения!$C$9</f>
        <v>9500</v>
      </c>
      <c r="D52" s="7" t="s">
        <v>71</v>
      </c>
      <c r="E52" s="7" t="s">
        <v>214</v>
      </c>
    </row>
    <row r="53" customFormat="false" ht="15" hidden="false" customHeight="false" outlineLevel="0" collapsed="false">
      <c r="A53" s="9" t="s">
        <v>215</v>
      </c>
      <c r="B53" s="7" t="s">
        <v>216</v>
      </c>
      <c r="C53" s="13" t="n">
        <f aca="false">MAX(0,24-Допущения!$C$29+1)</f>
        <v>15</v>
      </c>
      <c r="D53" s="7" t="s">
        <v>217</v>
      </c>
      <c r="E53" s="7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10" min="8" style="0" width="15"/>
  </cols>
  <sheetData>
    <row r="1" customFormat="false" ht="16.15" hidden="false" customHeight="false" outlineLevel="0" collapsed="false">
      <c r="A1" s="1" t="s">
        <v>218</v>
      </c>
    </row>
    <row r="3" customFormat="false" ht="39.55" hidden="false" customHeight="false" outlineLevel="0" collapsed="false">
      <c r="A3" s="6" t="s">
        <v>22</v>
      </c>
      <c r="B3" s="6" t="s">
        <v>219</v>
      </c>
      <c r="C3" s="6" t="s">
        <v>220</v>
      </c>
      <c r="D3" s="6" t="s">
        <v>221</v>
      </c>
      <c r="E3" s="6" t="s">
        <v>222</v>
      </c>
      <c r="F3" s="6" t="s">
        <v>223</v>
      </c>
      <c r="G3" s="6" t="s">
        <v>224</v>
      </c>
      <c r="H3" s="6" t="s">
        <v>225</v>
      </c>
      <c r="I3" s="6" t="s">
        <v>226</v>
      </c>
      <c r="J3" s="6" t="s">
        <v>227</v>
      </c>
    </row>
    <row r="4" customFormat="false" ht="15" hidden="false" customHeight="false" outlineLevel="0" collapsed="false">
      <c r="B4" s="9" t="s">
        <v>228</v>
      </c>
    </row>
    <row r="5" customFormat="false" ht="26.85" hidden="false" customHeight="false" outlineLevel="0" collapsed="false">
      <c r="A5" s="9" t="s">
        <v>229</v>
      </c>
      <c r="B5" s="7" t="s">
        <v>230</v>
      </c>
      <c r="C5" s="7" t="s">
        <v>231</v>
      </c>
      <c r="D5" s="7" t="s">
        <v>232</v>
      </c>
      <c r="E5" s="7" t="s">
        <v>233</v>
      </c>
      <c r="F5" s="13" t="n">
        <f aca="false">Допущения!$C$16*Допущения!$C$12</f>
        <v>1440000</v>
      </c>
      <c r="G5" s="14" t="n">
        <v>1</v>
      </c>
      <c r="H5" s="13" t="n">
        <f aca="false">F5</f>
        <v>1440000</v>
      </c>
      <c r="I5" s="13" t="n">
        <v>0</v>
      </c>
      <c r="J5" s="13" t="n">
        <f aca="false">H5+I5</f>
        <v>1440000</v>
      </c>
    </row>
    <row r="6" customFormat="false" ht="26.85" hidden="false" customHeight="false" outlineLevel="0" collapsed="false">
      <c r="A6" s="9" t="s">
        <v>234</v>
      </c>
      <c r="B6" s="7" t="s">
        <v>235</v>
      </c>
      <c r="C6" s="7" t="s">
        <v>231</v>
      </c>
      <c r="D6" s="7" t="s">
        <v>232</v>
      </c>
      <c r="E6" s="7" t="s">
        <v>236</v>
      </c>
      <c r="F6" s="13" t="n">
        <f aca="false">Допущения!$C$17*Допущения!$C$50+Допущения!$C$18*Допущения!$C$14</f>
        <v>290000</v>
      </c>
      <c r="G6" s="14" t="n">
        <v>1</v>
      </c>
      <c r="H6" s="13" t="n">
        <f aca="false">F6</f>
        <v>290000</v>
      </c>
      <c r="I6" s="13" t="n">
        <v>0</v>
      </c>
      <c r="J6" s="13" t="n">
        <f aca="false">H6+I6</f>
        <v>290000</v>
      </c>
    </row>
    <row r="7" customFormat="false" ht="26.85" hidden="false" customHeight="false" outlineLevel="0" collapsed="false">
      <c r="A7" s="9" t="s">
        <v>237</v>
      </c>
      <c r="B7" s="7" t="s">
        <v>238</v>
      </c>
      <c r="C7" s="7" t="s">
        <v>231</v>
      </c>
      <c r="D7" s="7" t="s">
        <v>232</v>
      </c>
      <c r="E7" s="7" t="s">
        <v>239</v>
      </c>
      <c r="F7" s="13" t="n">
        <f aca="false">Допущения!$C$19*Допущения!$C$11</f>
        <v>420000</v>
      </c>
      <c r="G7" s="14" t="n">
        <v>1</v>
      </c>
      <c r="H7" s="13" t="n">
        <f aca="false">F7</f>
        <v>420000</v>
      </c>
      <c r="I7" s="13" t="n">
        <v>0</v>
      </c>
      <c r="J7" s="13" t="n">
        <f aca="false">H7+I7</f>
        <v>420000</v>
      </c>
    </row>
    <row r="8" customFormat="false" ht="15" hidden="false" customHeight="false" outlineLevel="0" collapsed="false">
      <c r="A8" s="9" t="s">
        <v>240</v>
      </c>
      <c r="B8" s="7" t="s">
        <v>241</v>
      </c>
      <c r="C8" s="7" t="s">
        <v>242</v>
      </c>
      <c r="D8" s="7" t="s">
        <v>232</v>
      </c>
      <c r="E8" s="7" t="s">
        <v>243</v>
      </c>
      <c r="F8" s="13" t="n">
        <f aca="false">Допущения!$C$20*Допущения!$C$11</f>
        <v>1680000</v>
      </c>
      <c r="G8" s="14" t="n">
        <v>1</v>
      </c>
      <c r="H8" s="13" t="n">
        <f aca="false">F8</f>
        <v>1680000</v>
      </c>
      <c r="I8" s="13" t="n">
        <v>0</v>
      </c>
      <c r="J8" s="13" t="n">
        <f aca="false">H8+I8</f>
        <v>1680000</v>
      </c>
    </row>
    <row r="9" customFormat="false" ht="26.85" hidden="false" customHeight="false" outlineLevel="0" collapsed="false">
      <c r="A9" s="9" t="s">
        <v>244</v>
      </c>
      <c r="B9" s="7" t="s">
        <v>245</v>
      </c>
      <c r="C9" s="7" t="s">
        <v>246</v>
      </c>
      <c r="D9" s="7" t="s">
        <v>232</v>
      </c>
      <c r="E9" s="7" t="s">
        <v>247</v>
      </c>
      <c r="F9" s="13" t="n">
        <f aca="false">Допущения!$C$21*Допущения!$C$12</f>
        <v>3840000</v>
      </c>
      <c r="G9" s="14" t="n">
        <v>1</v>
      </c>
      <c r="H9" s="13" t="n">
        <f aca="false">F9</f>
        <v>3840000</v>
      </c>
      <c r="I9" s="13" t="n">
        <v>0</v>
      </c>
      <c r="J9" s="13" t="n">
        <f aca="false">H9+I9</f>
        <v>3840000</v>
      </c>
    </row>
    <row r="10" customFormat="false" ht="15" hidden="false" customHeight="false" outlineLevel="0" collapsed="false">
      <c r="A10" s="9" t="s">
        <v>248</v>
      </c>
      <c r="B10" s="7" t="s">
        <v>249</v>
      </c>
      <c r="C10" s="7" t="s">
        <v>250</v>
      </c>
      <c r="D10" s="7" t="s">
        <v>232</v>
      </c>
      <c r="E10" s="7" t="s">
        <v>251</v>
      </c>
      <c r="F10" s="13" t="n">
        <f aca="false">Допущения!$C$22*Допущения!$C$12</f>
        <v>1200000</v>
      </c>
      <c r="G10" s="14" t="n">
        <v>1</v>
      </c>
      <c r="H10" s="13" t="n">
        <f aca="false">F10</f>
        <v>1200000</v>
      </c>
      <c r="I10" s="13" t="n">
        <v>0</v>
      </c>
      <c r="J10" s="13" t="n">
        <f aca="false">H10+I10</f>
        <v>1200000</v>
      </c>
    </row>
    <row r="11" customFormat="false" ht="15" hidden="false" customHeight="false" outlineLevel="0" collapsed="false">
      <c r="A11" s="9" t="s">
        <v>252</v>
      </c>
      <c r="B11" s="7" t="s">
        <v>253</v>
      </c>
      <c r="C11" s="7" t="s">
        <v>250</v>
      </c>
      <c r="D11" s="7" t="s">
        <v>232</v>
      </c>
      <c r="E11" s="7" t="s">
        <v>254</v>
      </c>
      <c r="F11" s="13" t="n">
        <f aca="false">Допущения!$C$23*Допущения!$C$8*Допущения!$C$50</f>
        <v>187500</v>
      </c>
      <c r="G11" s="14" t="n">
        <v>1</v>
      </c>
      <c r="H11" s="13" t="n">
        <f aca="false">F11</f>
        <v>187500</v>
      </c>
      <c r="I11" s="13" t="n">
        <v>0</v>
      </c>
      <c r="J11" s="13" t="n">
        <f aca="false">H11+I11</f>
        <v>187500</v>
      </c>
    </row>
    <row r="12" customFormat="false" ht="15" hidden="false" customHeight="false" outlineLevel="0" collapsed="false">
      <c r="A12" s="9" t="s">
        <v>255</v>
      </c>
      <c r="B12" s="7" t="s">
        <v>256</v>
      </c>
      <c r="C12" s="7" t="s">
        <v>256</v>
      </c>
      <c r="D12" s="7" t="s">
        <v>232</v>
      </c>
      <c r="E12" s="7" t="s">
        <v>257</v>
      </c>
      <c r="F12" s="13" t="n">
        <f aca="false">Допущения!$C$24*Допущения!$C$12</f>
        <v>480000</v>
      </c>
      <c r="G12" s="14" t="n">
        <v>1</v>
      </c>
      <c r="H12" s="13" t="n">
        <f aca="false">F12</f>
        <v>480000</v>
      </c>
      <c r="I12" s="13" t="n">
        <v>0</v>
      </c>
      <c r="J12" s="13" t="n">
        <f aca="false">H12+I12</f>
        <v>480000</v>
      </c>
    </row>
    <row r="13" customFormat="false" ht="15" hidden="false" customHeight="false" outlineLevel="0" collapsed="false">
      <c r="A13" s="9" t="s">
        <v>258</v>
      </c>
      <c r="B13" s="7" t="s">
        <v>259</v>
      </c>
      <c r="C13" s="7" t="s">
        <v>260</v>
      </c>
      <c r="D13" s="7" t="s">
        <v>232</v>
      </c>
      <c r="E13" s="7" t="s">
        <v>261</v>
      </c>
      <c r="F13" s="13" t="n">
        <f aca="false">Допущения!$C$25*Допущения!$C$13</f>
        <v>480000</v>
      </c>
      <c r="G13" s="14" t="n">
        <v>1</v>
      </c>
      <c r="H13" s="13" t="n">
        <f aca="false">F13</f>
        <v>480000</v>
      </c>
      <c r="I13" s="13" t="n">
        <v>0</v>
      </c>
      <c r="J13" s="13" t="n">
        <f aca="false">H13+I13</f>
        <v>480000</v>
      </c>
    </row>
    <row r="14" customFormat="false" ht="26.85" hidden="false" customHeight="false" outlineLevel="0" collapsed="false">
      <c r="A14" s="9" t="s">
        <v>262</v>
      </c>
      <c r="B14" s="7" t="s">
        <v>263</v>
      </c>
      <c r="C14" s="7" t="s">
        <v>260</v>
      </c>
      <c r="D14" s="7" t="s">
        <v>232</v>
      </c>
      <c r="E14" s="7" t="s">
        <v>264</v>
      </c>
      <c r="F14" s="13" t="n">
        <f aca="false">Допущения!$C$26*Допущения!$C$14</f>
        <v>560000</v>
      </c>
      <c r="G14" s="14" t="n">
        <v>1</v>
      </c>
      <c r="H14" s="13" t="n">
        <f aca="false">F14</f>
        <v>560000</v>
      </c>
      <c r="I14" s="13" t="n">
        <v>0</v>
      </c>
      <c r="J14" s="13" t="n">
        <f aca="false">H14+I14</f>
        <v>560000</v>
      </c>
    </row>
    <row r="15" customFormat="false" ht="15" hidden="false" customHeight="false" outlineLevel="0" collapsed="false">
      <c r="A15" s="9" t="s">
        <v>265</v>
      </c>
      <c r="B15" s="7" t="s">
        <v>266</v>
      </c>
      <c r="C15" s="7" t="s">
        <v>242</v>
      </c>
      <c r="D15" s="7" t="s">
        <v>232</v>
      </c>
      <c r="E15" s="7" t="s">
        <v>267</v>
      </c>
      <c r="F15" s="13" t="n">
        <f aca="false">Допущения!$C$27*Допущения!$C$11</f>
        <v>560000</v>
      </c>
      <c r="G15" s="14" t="n">
        <v>1</v>
      </c>
      <c r="H15" s="13" t="n">
        <f aca="false">F15</f>
        <v>560000</v>
      </c>
      <c r="I15" s="13" t="n">
        <v>0</v>
      </c>
      <c r="J15" s="13" t="n">
        <f aca="false">H15+I15</f>
        <v>560000</v>
      </c>
    </row>
    <row r="16" customFormat="false" ht="26.85" hidden="false" customHeight="false" outlineLevel="0" collapsed="false">
      <c r="A16" s="9" t="s">
        <v>268</v>
      </c>
      <c r="B16" s="7" t="s">
        <v>269</v>
      </c>
      <c r="C16" s="7" t="s">
        <v>270</v>
      </c>
      <c r="D16" s="7" t="s">
        <v>232</v>
      </c>
      <c r="E16" s="7" t="s">
        <v>271</v>
      </c>
      <c r="F16" s="13" t="n">
        <f aca="false">Допущения!$C$28*Допущения!$C$11</f>
        <v>280000</v>
      </c>
      <c r="G16" s="14" t="n">
        <v>1</v>
      </c>
      <c r="H16" s="13" t="n">
        <f aca="false">F16</f>
        <v>280000</v>
      </c>
      <c r="I16" s="13" t="n">
        <v>0</v>
      </c>
      <c r="J16" s="13" t="n">
        <f aca="false">H16+I16</f>
        <v>280000</v>
      </c>
    </row>
    <row r="17" customFormat="false" ht="15" hidden="false" customHeight="false" outlineLevel="0" collapsed="false">
      <c r="B17" s="9" t="s">
        <v>272</v>
      </c>
    </row>
    <row r="18" customFormat="false" ht="26.85" hidden="false" customHeight="false" outlineLevel="0" collapsed="false">
      <c r="A18" s="9" t="s">
        <v>273</v>
      </c>
      <c r="B18" s="7" t="s">
        <v>274</v>
      </c>
      <c r="C18" s="7" t="s">
        <v>275</v>
      </c>
      <c r="D18" s="7" t="s">
        <v>276</v>
      </c>
      <c r="E18" s="7" t="s">
        <v>277</v>
      </c>
      <c r="F18" s="13" t="n">
        <f aca="false">(Допущения!$C$31*Рынок!$C$4+Допущения!$C$32*Рынок!$C$5)*Допущения!$C$36*(1+Допущения!$C$35)*Допущения!$C$37</f>
        <v>71761.92</v>
      </c>
      <c r="G18" s="13" t="n">
        <f aca="false">Допущения!$C$30</f>
        <v>7</v>
      </c>
      <c r="H18" s="13" t="n">
        <f aca="false">F18*MAX(0,12-G18+1)</f>
        <v>430571.52</v>
      </c>
      <c r="I18" s="13" t="n">
        <f aca="false">F18*MAX(0,24-MAX(G18,13)+1)</f>
        <v>861143.04</v>
      </c>
      <c r="J18" s="13" t="n">
        <f aca="false">H18+I18</f>
        <v>1291714.56</v>
      </c>
    </row>
    <row r="19" customFormat="false" ht="26.85" hidden="false" customHeight="false" outlineLevel="0" collapsed="false">
      <c r="A19" s="9" t="s">
        <v>278</v>
      </c>
      <c r="B19" s="7" t="s">
        <v>279</v>
      </c>
      <c r="C19" s="7" t="s">
        <v>275</v>
      </c>
      <c r="D19" s="7" t="s">
        <v>276</v>
      </c>
      <c r="E19" s="7" t="s">
        <v>280</v>
      </c>
      <c r="F19" s="13" t="n">
        <f aca="false">(Допущения!$C$33*Рынок!$C$4+Допущения!$C$34*Рынок!$C$5)*Допущения!$C$36*(1+Допущения!$C$35)*Допущения!$C$37</f>
        <v>35880.96</v>
      </c>
      <c r="G19" s="13" t="n">
        <f aca="false">1</f>
        <v>1</v>
      </c>
      <c r="H19" s="13" t="n">
        <f aca="false">F19*MAX(0,12-G19+1)</f>
        <v>430571.52</v>
      </c>
      <c r="I19" s="13" t="n">
        <f aca="false">F19*MAX(0,24-MAX(G19,13)+1)</f>
        <v>430571.52</v>
      </c>
      <c r="J19" s="13" t="n">
        <f aca="false">H19+I19</f>
        <v>861143.04</v>
      </c>
    </row>
    <row r="20" customFormat="false" ht="26.85" hidden="false" customHeight="false" outlineLevel="0" collapsed="false">
      <c r="A20" s="9" t="s">
        <v>281</v>
      </c>
      <c r="B20" s="7" t="s">
        <v>282</v>
      </c>
      <c r="C20" s="7" t="s">
        <v>283</v>
      </c>
      <c r="D20" s="7" t="s">
        <v>276</v>
      </c>
      <c r="E20" s="7" t="s">
        <v>284</v>
      </c>
      <c r="F20" s="13" t="n">
        <f aca="false">Допущения!$C$9*Допущения!$C$49</f>
        <v>187500</v>
      </c>
      <c r="G20" s="13" t="n">
        <f aca="false">1</f>
        <v>1</v>
      </c>
      <c r="H20" s="13" t="n">
        <f aca="false">F20*MAX(0,12-G20+1)</f>
        <v>2250000</v>
      </c>
      <c r="I20" s="13" t="n">
        <f aca="false">F20*MAX(0,24-MAX(G20,13)+1)</f>
        <v>2250000</v>
      </c>
      <c r="J20" s="13" t="n">
        <f aca="false">H20+I20</f>
        <v>4500000</v>
      </c>
    </row>
    <row r="21" customFormat="false" ht="26.85" hidden="false" customHeight="false" outlineLevel="0" collapsed="false">
      <c r="A21" s="9" t="s">
        <v>285</v>
      </c>
      <c r="B21" s="7" t="s">
        <v>286</v>
      </c>
      <c r="C21" s="7" t="s">
        <v>283</v>
      </c>
      <c r="D21" s="7" t="s">
        <v>276</v>
      </c>
      <c r="E21" s="7" t="s">
        <v>287</v>
      </c>
      <c r="F21" s="13" t="n">
        <f aca="false">Допущения!$C$9*Допущения!$C$10*Допущения!$C$49</f>
        <v>18750</v>
      </c>
      <c r="G21" s="13" t="n">
        <f aca="false">1</f>
        <v>1</v>
      </c>
      <c r="H21" s="13" t="n">
        <f aca="false">F21*MAX(0,12-G21+1)</f>
        <v>225000</v>
      </c>
      <c r="I21" s="13" t="n">
        <f aca="false">F21*MAX(0,24-MAX(G21,13)+1)</f>
        <v>225000</v>
      </c>
      <c r="J21" s="13" t="n">
        <f aca="false">H21+I21</f>
        <v>450000</v>
      </c>
    </row>
    <row r="22" customFormat="false" ht="15" hidden="false" customHeight="false" outlineLevel="0" collapsed="false">
      <c r="A22" s="9" t="s">
        <v>288</v>
      </c>
      <c r="B22" s="7" t="s">
        <v>175</v>
      </c>
      <c r="C22" s="7" t="s">
        <v>289</v>
      </c>
      <c r="D22" s="7" t="s">
        <v>276</v>
      </c>
      <c r="E22" s="7" t="s">
        <v>290</v>
      </c>
      <c r="F22" s="13" t="n">
        <f aca="false">Допущения!$C$38*Допущения!$C$15*Допущения!$C$12</f>
        <v>247500</v>
      </c>
      <c r="G22" s="13" t="n">
        <f aca="false">Допущения!$C$29</f>
        <v>10</v>
      </c>
      <c r="H22" s="13" t="n">
        <f aca="false">F22*MAX(0,12-G22+1)</f>
        <v>742500</v>
      </c>
      <c r="I22" s="13" t="n">
        <f aca="false">F22*MAX(0,24-MAX(G22,13)+1)</f>
        <v>2970000</v>
      </c>
      <c r="J22" s="13" t="n">
        <f aca="false">H22+I22</f>
        <v>3712500</v>
      </c>
    </row>
    <row r="23" customFormat="false" ht="15" hidden="false" customHeight="false" outlineLevel="0" collapsed="false">
      <c r="A23" s="9" t="s">
        <v>291</v>
      </c>
      <c r="B23" s="7" t="s">
        <v>292</v>
      </c>
      <c r="C23" s="7" t="s">
        <v>293</v>
      </c>
      <c r="D23" s="7" t="s">
        <v>276</v>
      </c>
      <c r="E23" s="7" t="s">
        <v>294</v>
      </c>
      <c r="F23" s="13" t="n">
        <f aca="false">Допущения!$C$39*Допущения!$C$15*Допущения!$C$11</f>
        <v>288750</v>
      </c>
      <c r="G23" s="13" t="n">
        <f aca="false">Допущения!$C$29</f>
        <v>10</v>
      </c>
      <c r="H23" s="13" t="n">
        <f aca="false">F23*MAX(0,12-G23+1)</f>
        <v>866250</v>
      </c>
      <c r="I23" s="13" t="n">
        <f aca="false">F23*MAX(0,24-MAX(G23,13)+1)</f>
        <v>3465000</v>
      </c>
      <c r="J23" s="13" t="n">
        <f aca="false">H23+I23</f>
        <v>4331250</v>
      </c>
    </row>
    <row r="24" customFormat="false" ht="15" hidden="false" customHeight="false" outlineLevel="0" collapsed="false">
      <c r="A24" s="9" t="s">
        <v>295</v>
      </c>
      <c r="B24" s="7" t="s">
        <v>296</v>
      </c>
      <c r="C24" s="7" t="s">
        <v>297</v>
      </c>
      <c r="D24" s="7" t="s">
        <v>276</v>
      </c>
      <c r="E24" s="7" t="s">
        <v>298</v>
      </c>
      <c r="F24" s="13" t="n">
        <f aca="false">Допущения!$C$40*Допущения!$C$41*Допущения!$C$11/12</f>
        <v>46666.6666666667</v>
      </c>
      <c r="G24" s="13" t="n">
        <f aca="false">Допущения!$C$29</f>
        <v>10</v>
      </c>
      <c r="H24" s="13" t="n">
        <f aca="false">F24*MAX(0,12-G24+1)</f>
        <v>140000</v>
      </c>
      <c r="I24" s="13" t="n">
        <f aca="false">F24*MAX(0,24-MAX(G24,13)+1)</f>
        <v>560000</v>
      </c>
      <c r="J24" s="13" t="n">
        <f aca="false">H24+I24</f>
        <v>700000</v>
      </c>
    </row>
    <row r="25" customFormat="false" ht="15" hidden="false" customHeight="false" outlineLevel="0" collapsed="false">
      <c r="A25" s="9" t="s">
        <v>299</v>
      </c>
      <c r="B25" s="7" t="s">
        <v>300</v>
      </c>
      <c r="C25" s="7" t="s">
        <v>260</v>
      </c>
      <c r="D25" s="7" t="s">
        <v>276</v>
      </c>
      <c r="E25" s="7" t="s">
        <v>301</v>
      </c>
      <c r="F25" s="13" t="n">
        <f aca="false">(Допущения!$C$42*Допущения!$C$13+Допущения!$C$43*Допущения!$C$14)/12</f>
        <v>31666.6666666667</v>
      </c>
      <c r="G25" s="13" t="n">
        <f aca="false">Допущения!$C$29</f>
        <v>10</v>
      </c>
      <c r="H25" s="13" t="n">
        <f aca="false">F25*MAX(0,12-G25+1)</f>
        <v>95000</v>
      </c>
      <c r="I25" s="13" t="n">
        <f aca="false">F25*MAX(0,24-MAX(G25,13)+1)</f>
        <v>380000</v>
      </c>
      <c r="J25" s="13" t="n">
        <f aca="false">H25+I25</f>
        <v>475000</v>
      </c>
    </row>
    <row r="26" customFormat="false" ht="26.85" hidden="false" customHeight="false" outlineLevel="0" collapsed="false">
      <c r="A26" s="9" t="s">
        <v>302</v>
      </c>
      <c r="B26" s="7" t="s">
        <v>191</v>
      </c>
      <c r="C26" s="7" t="s">
        <v>270</v>
      </c>
      <c r="D26" s="7" t="s">
        <v>276</v>
      </c>
      <c r="E26" s="7" t="s">
        <v>303</v>
      </c>
      <c r="F26" s="13" t="n">
        <f aca="false">Допущения!$C$44*Допущения!$C$11/12</f>
        <v>11666.6666666667</v>
      </c>
      <c r="G26" s="13" t="n">
        <f aca="false">Допущения!$C$29</f>
        <v>10</v>
      </c>
      <c r="H26" s="13" t="n">
        <f aca="false">F26*MAX(0,12-G26+1)</f>
        <v>35000</v>
      </c>
      <c r="I26" s="13" t="n">
        <f aca="false">F26*MAX(0,24-MAX(G26,13)+1)</f>
        <v>140000</v>
      </c>
      <c r="J26" s="13" t="n">
        <f aca="false">H26+I26</f>
        <v>175000</v>
      </c>
    </row>
    <row r="27" customFormat="false" ht="26.85" hidden="false" customHeight="false" outlineLevel="0" collapsed="false">
      <c r="B27" s="7" t="s">
        <v>304</v>
      </c>
      <c r="C27" s="7" t="s">
        <v>305</v>
      </c>
      <c r="D27" s="7" t="s">
        <v>195</v>
      </c>
      <c r="E27" s="7" t="s">
        <v>306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</row>
    <row r="29" customFormat="false" ht="15" hidden="false" customHeight="false" outlineLevel="0" collapsed="false">
      <c r="B29" s="9" t="s">
        <v>307</v>
      </c>
      <c r="H29" s="15" t="n">
        <f aca="false">SUM(H5:H16)</f>
        <v>11417500</v>
      </c>
      <c r="I29" s="15" t="n">
        <f aca="false">SUM(I5:I16)</f>
        <v>0</v>
      </c>
      <c r="J29" s="15" t="n">
        <f aca="false">SUM(J5:J16)</f>
        <v>11417500</v>
      </c>
    </row>
    <row r="30" customFormat="false" ht="15" hidden="false" customHeight="false" outlineLevel="0" collapsed="false">
      <c r="B30" s="9" t="s">
        <v>308</v>
      </c>
      <c r="H30" s="15" t="n">
        <f aca="false">SUM(H18:H26)</f>
        <v>5214893.04</v>
      </c>
      <c r="I30" s="15" t="n">
        <f aca="false">SUM(I18:I26)</f>
        <v>11281714.56</v>
      </c>
      <c r="J30" s="15" t="n">
        <f aca="false">SUM(J18:J26)</f>
        <v>16496607.6</v>
      </c>
    </row>
    <row r="31" customFormat="false" ht="15" hidden="false" customHeight="false" outlineLevel="0" collapsed="false">
      <c r="B31" s="9" t="s">
        <v>309</v>
      </c>
      <c r="H31" s="15" t="n">
        <f aca="false">H29+H30</f>
        <v>16632393.04</v>
      </c>
      <c r="I31" s="15" t="n">
        <f aca="false">I29+I30</f>
        <v>11281714.56</v>
      </c>
      <c r="J31" s="15" t="n">
        <f aca="false">J29+J30</f>
        <v>27914107.6</v>
      </c>
    </row>
    <row r="32" customFormat="false" ht="26.85" hidden="false" customHeight="false" outlineLevel="0" collapsed="false">
      <c r="B32" s="9" t="s">
        <v>310</v>
      </c>
      <c r="F32" s="15" t="n">
        <f aca="false">SUM(F18:F26)</f>
        <v>940142.88</v>
      </c>
    </row>
    <row r="33" customFormat="false" ht="26.85" hidden="false" customHeight="false" outlineLevel="0" collapsed="false">
      <c r="B33" s="9" t="s">
        <v>311</v>
      </c>
      <c r="F33" s="16" t="n">
        <f aca="false">SUM(F20:F26)/F32</f>
        <v>0.885503701309741</v>
      </c>
    </row>
    <row r="34" customFormat="false" ht="15" hidden="false" customHeight="false" outlineLevel="0" collapsed="false">
      <c r="B34" s="9" t="s">
        <v>312</v>
      </c>
      <c r="F34" s="16" t="n">
        <f aca="false">(F18+F19)/F32</f>
        <v>0.114496298690259</v>
      </c>
    </row>
    <row r="36" customFormat="false" ht="26.85" hidden="false" customHeight="true" outlineLevel="0" collapsed="false">
      <c r="B36" s="9" t="s">
        <v>313</v>
      </c>
      <c r="F36" s="13" t="n">
        <f aca="false">F5+F6+F7+F8+3*(F19+F20+F21)</f>
        <v>4556392.88</v>
      </c>
      <c r="G36" s="7" t="s">
        <v>314</v>
      </c>
      <c r="H36" s="7"/>
      <c r="I36" s="7"/>
      <c r="J36" s="7"/>
    </row>
  </sheetData>
  <mergeCells count="1">
    <mergeCell ref="G36: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6.15" hidden="false" customHeight="false" outlineLevel="0" collapsed="false">
      <c r="A1" s="1" t="s">
        <v>315</v>
      </c>
    </row>
    <row r="3" customFormat="false" ht="45" hidden="false" customHeight="true" outlineLevel="0" collapsed="false">
      <c r="A3" s="9" t="s">
        <v>316</v>
      </c>
      <c r="B3" s="7" t="s">
        <v>317</v>
      </c>
      <c r="C3" s="7"/>
      <c r="D3" s="7"/>
      <c r="E3" s="7"/>
      <c r="F3" s="7"/>
      <c r="G3" s="7"/>
      <c r="H3" s="7"/>
    </row>
    <row r="5" customFormat="false" ht="26.85" hidden="false" customHeight="false" outlineLevel="0" collapsed="false">
      <c r="A5" s="9" t="s">
        <v>318</v>
      </c>
      <c r="B5" s="13" t="n">
        <f aca="false">Допущения!$C$52/100*Допущения!$C$51</f>
        <v>890625</v>
      </c>
    </row>
    <row r="6" customFormat="false" ht="26.85" hidden="false" customHeight="false" outlineLevel="0" collapsed="false">
      <c r="A6" s="9" t="s">
        <v>319</v>
      </c>
      <c r="B6" s="17" t="n">
        <f aca="false">Допущения!$C$52/100</f>
        <v>95</v>
      </c>
    </row>
    <row r="8" customFormat="false" ht="39.55" hidden="false" customHeight="false" outlineLevel="0" collapsed="false">
      <c r="A8" s="6" t="s">
        <v>320</v>
      </c>
      <c r="B8" s="6" t="s">
        <v>321</v>
      </c>
      <c r="C8" s="6" t="s">
        <v>322</v>
      </c>
      <c r="D8" s="6" t="s">
        <v>323</v>
      </c>
      <c r="E8" s="6" t="s">
        <v>324</v>
      </c>
      <c r="F8" s="6" t="s">
        <v>325</v>
      </c>
      <c r="G8" s="6" t="s">
        <v>326</v>
      </c>
      <c r="H8" s="6" t="s">
        <v>327</v>
      </c>
    </row>
    <row r="9" customFormat="false" ht="15" hidden="false" customHeight="false" outlineLevel="0" collapsed="false">
      <c r="A9" s="11" t="n">
        <v>0.005</v>
      </c>
      <c r="B9" s="16" t="n">
        <f aca="false">Допущения!$C$7+A9</f>
        <v>0.045</v>
      </c>
      <c r="C9" s="17" t="n">
        <f aca="false">A9*Допущения!$C$52</f>
        <v>47.5</v>
      </c>
      <c r="D9" s="13" t="n">
        <f aca="false">C9*Допущения!$C$51</f>
        <v>445312.5</v>
      </c>
      <c r="E9" s="13" t="n">
        <f aca="false">D9*Допущения!$C$53</f>
        <v>6679687.5</v>
      </c>
      <c r="F9" s="13" t="n">
        <f aca="false">TCO!$J$31</f>
        <v>27914107.6</v>
      </c>
      <c r="G9" s="13" t="n">
        <f aca="false">E9-F9</f>
        <v>-21234420.1</v>
      </c>
      <c r="H9" s="13" t="n">
        <f aca="false">D9-TCO!$F$32</f>
        <v>-494830.38</v>
      </c>
    </row>
    <row r="10" customFormat="false" ht="15" hidden="false" customHeight="false" outlineLevel="0" collapsed="false">
      <c r="A10" s="11" t="n">
        <v>0.01</v>
      </c>
      <c r="B10" s="16" t="n">
        <f aca="false">Допущения!$C$7+A10</f>
        <v>0.05</v>
      </c>
      <c r="C10" s="17" t="n">
        <f aca="false">A10*Допущения!$C$52</f>
        <v>95</v>
      </c>
      <c r="D10" s="13" t="n">
        <f aca="false">C10*Допущения!$C$51</f>
        <v>890625</v>
      </c>
      <c r="E10" s="13" t="n">
        <f aca="false">D10*Допущения!$C$53</f>
        <v>13359375</v>
      </c>
      <c r="F10" s="13" t="n">
        <f aca="false">TCO!$J$31</f>
        <v>27914107.6</v>
      </c>
      <c r="G10" s="13" t="n">
        <f aca="false">E10-F10</f>
        <v>-14554732.6</v>
      </c>
      <c r="H10" s="13" t="n">
        <f aca="false">D10-TCO!$F$32</f>
        <v>-49517.88</v>
      </c>
    </row>
    <row r="11" customFormat="false" ht="15" hidden="false" customHeight="false" outlineLevel="0" collapsed="false">
      <c r="A11" s="11" t="n">
        <v>0.015</v>
      </c>
      <c r="B11" s="16" t="n">
        <f aca="false">Допущения!$C$7+A11</f>
        <v>0.055</v>
      </c>
      <c r="C11" s="17" t="n">
        <f aca="false">A11*Допущения!$C$52</f>
        <v>142.5</v>
      </c>
      <c r="D11" s="13" t="n">
        <f aca="false">C11*Допущения!$C$51</f>
        <v>1335937.5</v>
      </c>
      <c r="E11" s="13" t="n">
        <f aca="false">D11*Допущения!$C$53</f>
        <v>20039062.5</v>
      </c>
      <c r="F11" s="13" t="n">
        <f aca="false">TCO!$J$31</f>
        <v>27914107.6</v>
      </c>
      <c r="G11" s="13" t="n">
        <f aca="false">E11-F11</f>
        <v>-7875045.1</v>
      </c>
      <c r="H11" s="13" t="n">
        <f aca="false">D11-TCO!$F$32</f>
        <v>395794.62</v>
      </c>
    </row>
    <row r="12" customFormat="false" ht="15" hidden="false" customHeight="false" outlineLevel="0" collapsed="false">
      <c r="A12" s="11" t="n">
        <v>0.02</v>
      </c>
      <c r="B12" s="16" t="n">
        <f aca="false">Допущения!$C$7+A12</f>
        <v>0.06</v>
      </c>
      <c r="C12" s="17" t="n">
        <f aca="false">A12*Допущения!$C$52</f>
        <v>190</v>
      </c>
      <c r="D12" s="13" t="n">
        <f aca="false">C12*Допущения!$C$51</f>
        <v>1781250</v>
      </c>
      <c r="E12" s="13" t="n">
        <f aca="false">D12*Допущения!$C$53</f>
        <v>26718750</v>
      </c>
      <c r="F12" s="13" t="n">
        <f aca="false">TCO!$J$31</f>
        <v>27914107.6</v>
      </c>
      <c r="G12" s="13" t="n">
        <f aca="false">E12-F12</f>
        <v>-1195357.6</v>
      </c>
      <c r="H12" s="13" t="n">
        <f aca="false">D12-TCO!$F$32</f>
        <v>841107.12</v>
      </c>
    </row>
    <row r="13" customFormat="false" ht="15" hidden="false" customHeight="false" outlineLevel="0" collapsed="false">
      <c r="A13" s="11" t="n">
        <v>0.03</v>
      </c>
      <c r="B13" s="16" t="n">
        <f aca="false">Допущения!$C$7+A13</f>
        <v>0.07</v>
      </c>
      <c r="C13" s="17" t="n">
        <f aca="false">A13*Допущения!$C$52</f>
        <v>285</v>
      </c>
      <c r="D13" s="13" t="n">
        <f aca="false">C13*Допущения!$C$51</f>
        <v>2671875</v>
      </c>
      <c r="E13" s="13" t="n">
        <f aca="false">D13*Допущения!$C$53</f>
        <v>40078125</v>
      </c>
      <c r="F13" s="13" t="n">
        <f aca="false">TCO!$J$31</f>
        <v>27914107.6</v>
      </c>
      <c r="G13" s="13" t="n">
        <f aca="false">E13-F13</f>
        <v>12164017.4</v>
      </c>
      <c r="H13" s="13" t="n">
        <f aca="false">D13-TCO!$F$32</f>
        <v>1731732.12</v>
      </c>
    </row>
    <row r="15" customFormat="false" ht="15" hidden="false" customHeight="true" outlineLevel="0" collapsed="false">
      <c r="A15" s="9" t="s">
        <v>328</v>
      </c>
      <c r="B15" s="18" t="n">
        <f aca="false">TCO!$J$31/($B$5*Допущения!$C$53)/100</f>
        <v>0.0208947706011696</v>
      </c>
      <c r="C15" s="7" t="s">
        <v>329</v>
      </c>
      <c r="D15" s="7"/>
      <c r="E15" s="7"/>
      <c r="F15" s="7"/>
      <c r="G15" s="7"/>
      <c r="H15" s="7"/>
    </row>
    <row r="16" customFormat="false" ht="15" hidden="false" customHeight="true" outlineLevel="0" collapsed="false">
      <c r="A16" s="9" t="s">
        <v>330</v>
      </c>
      <c r="B16" s="18" t="n">
        <f aca="false">TCO!$F$32/$B$5/100</f>
        <v>0.0105559902315789</v>
      </c>
      <c r="C16" s="7" t="s">
        <v>331</v>
      </c>
      <c r="D16" s="7"/>
      <c r="E16" s="7"/>
      <c r="F16" s="7"/>
      <c r="G16" s="7"/>
      <c r="H16" s="7"/>
    </row>
    <row r="17" customFormat="false" ht="26.85" hidden="false" customHeight="false" outlineLevel="0" collapsed="false">
      <c r="A17" s="9" t="s">
        <v>332</v>
      </c>
      <c r="B17" s="13" t="n">
        <f aca="false">Допущения!$C$46*Допущения!$C$52*Допущения!$C$51*Допущения!$C$53-TCO!$J$31</f>
        <v>-1195357.6</v>
      </c>
    </row>
    <row r="19" customFormat="false" ht="15" hidden="false" customHeight="false" outlineLevel="0" collapsed="false">
      <c r="A19" s="9" t="s">
        <v>333</v>
      </c>
    </row>
    <row r="20" customFormat="false" ht="15" hidden="false" customHeight="false" outlineLevel="0" collapsed="false">
      <c r="A20" s="6" t="s">
        <v>25</v>
      </c>
      <c r="B20" s="6" t="s">
        <v>334</v>
      </c>
      <c r="C20" s="6" t="s">
        <v>335</v>
      </c>
    </row>
    <row r="21" customFormat="false" ht="31.5" hidden="false" customHeight="true" outlineLevel="0" collapsed="false">
      <c r="A21" s="7" t="s">
        <v>336</v>
      </c>
      <c r="B21" s="7" t="s">
        <v>337</v>
      </c>
      <c r="C21" s="7" t="s">
        <v>338</v>
      </c>
      <c r="D21" s="7"/>
      <c r="E21" s="7"/>
      <c r="F21" s="7"/>
      <c r="G21" s="7"/>
      <c r="H21" s="7"/>
    </row>
    <row r="22" customFormat="false" ht="31.5" hidden="false" customHeight="true" outlineLevel="0" collapsed="false">
      <c r="A22" s="7" t="s">
        <v>339</v>
      </c>
      <c r="B22" s="7" t="s">
        <v>340</v>
      </c>
      <c r="C22" s="7" t="s">
        <v>341</v>
      </c>
      <c r="D22" s="7"/>
      <c r="E22" s="7"/>
      <c r="F22" s="7"/>
      <c r="G22" s="7"/>
      <c r="H22" s="7"/>
    </row>
    <row r="23" customFormat="false" ht="31.5" hidden="false" customHeight="true" outlineLevel="0" collapsed="false">
      <c r="A23" s="7" t="s">
        <v>342</v>
      </c>
      <c r="B23" s="7" t="s">
        <v>340</v>
      </c>
      <c r="C23" s="7" t="s">
        <v>343</v>
      </c>
      <c r="D23" s="7"/>
      <c r="E23" s="7"/>
      <c r="F23" s="7"/>
      <c r="G23" s="7"/>
      <c r="H23" s="7"/>
    </row>
    <row r="24" customFormat="false" ht="31.5" hidden="false" customHeight="true" outlineLevel="0" collapsed="false">
      <c r="A24" s="7" t="s">
        <v>344</v>
      </c>
      <c r="B24" s="7" t="s">
        <v>340</v>
      </c>
      <c r="C24" s="7" t="s">
        <v>345</v>
      </c>
      <c r="D24" s="7"/>
      <c r="E24" s="7"/>
      <c r="F24" s="7"/>
      <c r="G24" s="7"/>
      <c r="H24" s="7"/>
    </row>
    <row r="25" customFormat="false" ht="31.5" hidden="false" customHeight="true" outlineLevel="0" collapsed="false">
      <c r="A25" s="7" t="s">
        <v>346</v>
      </c>
      <c r="B25" s="7" t="s">
        <v>340</v>
      </c>
      <c r="C25" s="7" t="s">
        <v>347</v>
      </c>
      <c r="D25" s="7"/>
      <c r="E25" s="7"/>
      <c r="F25" s="7"/>
      <c r="G25" s="7"/>
      <c r="H25" s="7"/>
    </row>
  </sheetData>
  <mergeCells count="8">
    <mergeCell ref="B3:H3"/>
    <mergeCell ref="C15:H15"/>
    <mergeCell ref="C16:H16"/>
    <mergeCell ref="C21:H21"/>
    <mergeCell ref="C22:H22"/>
    <mergeCell ref="C23:H23"/>
    <mergeCell ref="C24:H24"/>
    <mergeCell ref="C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16.15" hidden="false" customHeight="false" outlineLevel="0" collapsed="false">
      <c r="A1" s="1" t="s">
        <v>348</v>
      </c>
    </row>
    <row r="3" customFormat="false" ht="15" hidden="false" customHeight="false" outlineLevel="0" collapsed="false">
      <c r="A3" s="6" t="s">
        <v>349</v>
      </c>
      <c r="B3" s="6" t="s">
        <v>66</v>
      </c>
      <c r="C3" s="6" t="s">
        <v>222</v>
      </c>
    </row>
    <row r="4" customFormat="false" ht="15" hidden="false" customHeight="false" outlineLevel="0" collapsed="false">
      <c r="A4" s="7" t="s">
        <v>350</v>
      </c>
      <c r="B4" s="19" t="n">
        <f aca="false">TCO!$F$32/Допущения!$C$4</f>
        <v>26.8612251428571</v>
      </c>
      <c r="C4" s="7" t="s">
        <v>351</v>
      </c>
    </row>
    <row r="5" customFormat="false" ht="15" hidden="false" customHeight="false" outlineLevel="0" collapsed="false">
      <c r="A5" s="7" t="s">
        <v>352</v>
      </c>
      <c r="B5" s="19" t="n">
        <f aca="false">TCO!$F$32/Допущения!$C$5</f>
        <v>94.014288</v>
      </c>
      <c r="C5" s="7" t="s">
        <v>353</v>
      </c>
    </row>
    <row r="6" customFormat="false" ht="15" hidden="false" customHeight="false" outlineLevel="0" collapsed="false">
      <c r="A6" s="7" t="s">
        <v>354</v>
      </c>
      <c r="B6" s="16" t="n">
        <f aca="false">B5/Допущения!$C$49</f>
        <v>0.250704768</v>
      </c>
      <c r="C6" s="7" t="s">
        <v>355</v>
      </c>
    </row>
    <row r="7" customFormat="false" ht="15" hidden="false" customHeight="false" outlineLevel="0" collapsed="false">
      <c r="A7" s="7" t="s">
        <v>356</v>
      </c>
      <c r="B7" s="19" t="n">
        <f aca="false">TCO!$J$31/(Допущения!$C$4*24)</f>
        <v>33.2310804761905</v>
      </c>
      <c r="C7" s="7" t="s">
        <v>357</v>
      </c>
    </row>
    <row r="8" customFormat="false" ht="15" hidden="false" customHeight="false" outlineLevel="0" collapsed="false">
      <c r="A8" s="7" t="s">
        <v>358</v>
      </c>
      <c r="B8" s="13" t="n">
        <f aca="false">Допущения!$C$4*24</f>
        <v>840000</v>
      </c>
      <c r="C8" s="7" t="s">
        <v>359</v>
      </c>
    </row>
    <row r="9" customFormat="false" ht="15" hidden="false" customHeight="false" outlineLevel="0" collapsed="false">
      <c r="A9" s="7" t="s">
        <v>360</v>
      </c>
      <c r="B9" s="13" t="n">
        <f aca="false">TCO!$J$31</f>
        <v>27914107.6</v>
      </c>
      <c r="C9" s="7" t="s">
        <v>361</v>
      </c>
    </row>
    <row r="10" customFormat="false" ht="26.85" hidden="false" customHeight="false" outlineLevel="0" collapsed="false">
      <c r="A10" s="7" t="s">
        <v>362</v>
      </c>
      <c r="B10" s="13" t="n">
        <f aca="false">TCO!$F$32/(Допущения!$C$46*Допущения!$C$52)</f>
        <v>4948.12042105263</v>
      </c>
      <c r="C10" s="7" t="s">
        <v>363</v>
      </c>
    </row>
    <row r="11" customFormat="false" ht="15" hidden="false" customHeight="false" outlineLevel="0" collapsed="false">
      <c r="A11" s="7" t="s">
        <v>364</v>
      </c>
      <c r="B11" s="13" t="n">
        <f aca="false">Допущения!$C$51</f>
        <v>9375</v>
      </c>
      <c r="C11" s="7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80"/>
  </cols>
  <sheetData>
    <row r="1" customFormat="false" ht="16.15" hidden="false" customHeight="false" outlineLevel="0" collapsed="false">
      <c r="A1" s="1" t="s">
        <v>365</v>
      </c>
    </row>
    <row r="3" customFormat="false" ht="26.85" hidden="false" customHeight="false" outlineLevel="0" collapsed="false">
      <c r="A3" s="9" t="s">
        <v>366</v>
      </c>
      <c r="B3" s="10" t="n">
        <v>300</v>
      </c>
      <c r="C3" s="7" t="s">
        <v>102</v>
      </c>
    </row>
    <row r="5" customFormat="false" ht="15" hidden="false" customHeight="false" outlineLevel="0" collapsed="false">
      <c r="A5" s="6" t="s">
        <v>367</v>
      </c>
      <c r="B5" s="6" t="s">
        <v>222</v>
      </c>
      <c r="C5" s="6" t="s">
        <v>368</v>
      </c>
      <c r="D5" s="6" t="s">
        <v>369</v>
      </c>
    </row>
    <row r="6" customFormat="false" ht="26.85" hidden="false" customHeight="false" outlineLevel="0" collapsed="false">
      <c r="A6" s="7" t="s">
        <v>370</v>
      </c>
      <c r="B6" s="7" t="s">
        <v>371</v>
      </c>
      <c r="C6" s="13" t="n">
        <f aca="false">Допущения!$C$4*$B$3/1000000*Рынок!$C$9</f>
        <v>5250</v>
      </c>
      <c r="D6" s="7" t="s">
        <v>372</v>
      </c>
    </row>
    <row r="7" customFormat="false" ht="39.55" hidden="false" customHeight="false" outlineLevel="0" collapsed="false">
      <c r="A7" s="7" t="s">
        <v>373</v>
      </c>
      <c r="B7" s="7" t="s">
        <v>374</v>
      </c>
      <c r="C7" s="13" t="n">
        <f aca="false">Рынок!$C$8*Допущения!$C$36</f>
        <v>333537</v>
      </c>
      <c r="D7" s="7" t="s">
        <v>375</v>
      </c>
    </row>
    <row r="8" customFormat="false" ht="15" hidden="false" customHeight="false" outlineLevel="0" collapsed="false">
      <c r="A8" s="7" t="s">
        <v>376</v>
      </c>
      <c r="B8" s="7" t="s">
        <v>377</v>
      </c>
      <c r="C8" s="13" t="n">
        <v>0</v>
      </c>
      <c r="D8" s="7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7" min="7" style="0" width="22"/>
  </cols>
  <sheetData>
    <row r="1" customFormat="false" ht="16.15" hidden="false" customHeight="false" outlineLevel="0" collapsed="false">
      <c r="A1" s="1" t="s">
        <v>379</v>
      </c>
    </row>
    <row r="3" customFormat="false" ht="39.55" hidden="false" customHeight="false" outlineLevel="0" collapsed="false">
      <c r="A3" s="6" t="s">
        <v>367</v>
      </c>
      <c r="B3" s="6" t="s">
        <v>380</v>
      </c>
      <c r="C3" s="6" t="s">
        <v>325</v>
      </c>
      <c r="D3" s="6" t="s">
        <v>381</v>
      </c>
      <c r="E3" s="6" t="s">
        <v>382</v>
      </c>
      <c r="F3" s="6" t="s">
        <v>383</v>
      </c>
      <c r="G3" s="6" t="s">
        <v>384</v>
      </c>
    </row>
    <row r="4" customFormat="false" ht="15" hidden="false" customHeight="false" outlineLevel="0" collapsed="false">
      <c r="A4" s="7" t="s">
        <v>385</v>
      </c>
      <c r="B4" s="7" t="s">
        <v>195</v>
      </c>
      <c r="C4" s="13" t="n">
        <f aca="false">TCO!$J$31</f>
        <v>27914107.6</v>
      </c>
      <c r="D4" s="13" t="n">
        <f aca="false">Допущения!$C$53</f>
        <v>15</v>
      </c>
      <c r="E4" s="13" t="n">
        <f aca="false">Эффект!$B$5</f>
        <v>890625</v>
      </c>
      <c r="F4" s="18" t="n">
        <f aca="false">C4/(E4*D4)/100</f>
        <v>0.0208947706011696</v>
      </c>
      <c r="G4" s="13" t="n">
        <f aca="false">Допущения!$C$46*100*E4*D4-C4</f>
        <v>-1195357.6</v>
      </c>
    </row>
    <row r="5" customFormat="false" ht="15" hidden="false" customHeight="false" outlineLevel="0" collapsed="false">
      <c r="A5" s="7" t="s">
        <v>386</v>
      </c>
      <c r="B5" s="7" t="s">
        <v>387</v>
      </c>
      <c r="C5" s="13" t="n">
        <f aca="false">TCO!$J$31+TCO!$F$9+TCO!$F$10</f>
        <v>32954107.6</v>
      </c>
      <c r="D5" s="13" t="n">
        <f aca="false">Допущения!$C$53</f>
        <v>15</v>
      </c>
      <c r="E5" s="13" t="n">
        <f aca="false">Эффект!$B$5</f>
        <v>890625</v>
      </c>
      <c r="F5" s="18" t="n">
        <f aca="false">C5/(E5*D5)/100</f>
        <v>0.024667402180117</v>
      </c>
      <c r="G5" s="13" t="n">
        <f aca="false">Допущения!$C$46*100*E5*D5-C5</f>
        <v>-6235357.6</v>
      </c>
    </row>
    <row r="6" customFormat="false" ht="15" hidden="false" customHeight="false" outlineLevel="0" collapsed="false">
      <c r="A6" s="7" t="s">
        <v>388</v>
      </c>
      <c r="B6" s="7" t="s">
        <v>389</v>
      </c>
      <c r="C6" s="13" t="n">
        <f aca="false">TCO!$J$31-3*(TCO!$F$22+TCO!$F$23+TCO!$F$24+TCO!$F$25+TCO!$F$26)</f>
        <v>26035357.6</v>
      </c>
      <c r="D6" s="13" t="n">
        <f aca="false">Допущения!$C$53-3</f>
        <v>12</v>
      </c>
      <c r="E6" s="13" t="n">
        <f aca="false">Эффект!$B$5</f>
        <v>890625</v>
      </c>
      <c r="F6" s="18" t="n">
        <f aca="false">C6/(E6*D6)/100</f>
        <v>0.0243605685146199</v>
      </c>
      <c r="G6" s="13" t="n">
        <f aca="false">Допущения!$C$46*100*E6*D6-C6</f>
        <v>-4660357.6</v>
      </c>
    </row>
    <row r="7" customFormat="false" ht="15" hidden="false" customHeight="false" outlineLevel="0" collapsed="false">
      <c r="A7" s="7" t="s">
        <v>390</v>
      </c>
      <c r="B7" s="7" t="s">
        <v>391</v>
      </c>
      <c r="C7" s="13" t="n">
        <f aca="false">TCO!$J$31+(TCO!$F$22+TCO!$F$23)*Допущения!$C$53</f>
        <v>35957857.6</v>
      </c>
      <c r="D7" s="13" t="n">
        <f aca="false">Допущения!$C$53</f>
        <v>15</v>
      </c>
      <c r="E7" s="13" t="n">
        <f aca="false">Эффект!$B$5</f>
        <v>890625</v>
      </c>
      <c r="F7" s="18" t="n">
        <f aca="false">C7/(E7*D7)/100</f>
        <v>0.0269158232327485</v>
      </c>
      <c r="G7" s="13" t="n">
        <f aca="false">Допущения!$C$46*100*E7*D7-C7</f>
        <v>-9239107.6</v>
      </c>
    </row>
    <row r="8" customFormat="false" ht="26.85" hidden="false" customHeight="false" outlineLevel="0" collapsed="false">
      <c r="A8" s="7" t="s">
        <v>392</v>
      </c>
      <c r="B8" s="7" t="s">
        <v>393</v>
      </c>
      <c r="C8" s="13" t="n">
        <f aca="false">TCO!$J$31-(TCO!$F$22+TCO!$F$23)/2*Допущения!$C$53</f>
        <v>23892232.6</v>
      </c>
      <c r="D8" s="13" t="n">
        <f aca="false">Допущения!$C$53</f>
        <v>15</v>
      </c>
      <c r="E8" s="13" t="n">
        <f aca="false">Эффект!$B$5</f>
        <v>890625</v>
      </c>
      <c r="F8" s="18" t="n">
        <f aca="false">C8/(E8*D8)/100</f>
        <v>0.0178842442853801</v>
      </c>
      <c r="G8" s="13" t="n">
        <f aca="false">Допущения!$C$46*100*E8*D8-C8</f>
        <v>2826517.4</v>
      </c>
    </row>
    <row r="9" customFormat="false" ht="26.85" hidden="false" customHeight="false" outlineLevel="0" collapsed="false">
      <c r="A9" s="7" t="s">
        <v>394</v>
      </c>
      <c r="B9" s="7" t="s">
        <v>395</v>
      </c>
      <c r="C9" s="13" t="n">
        <f aca="false">TCO!$J$31</f>
        <v>27914107.6</v>
      </c>
      <c r="D9" s="13" t="n">
        <f aca="false">Допущения!$C$53</f>
        <v>15</v>
      </c>
      <c r="E9" s="13" t="n">
        <f aca="false">Эффект!$B$5*0.5</f>
        <v>445312.5</v>
      </c>
      <c r="F9" s="18" t="n">
        <f aca="false">C9/(E9*D9)/100</f>
        <v>0.0417895412023392</v>
      </c>
      <c r="G9" s="13" t="n">
        <f aca="false">Допущения!$C$46*100*E9*D9-C9</f>
        <v>-14554732.6</v>
      </c>
    </row>
    <row r="10" customFormat="false" ht="26.85" hidden="false" customHeight="false" outlineLevel="0" collapsed="false">
      <c r="A10" s="7" t="s">
        <v>396</v>
      </c>
      <c r="B10" s="7" t="s">
        <v>397</v>
      </c>
      <c r="C10" s="13" t="n">
        <f aca="false">TCO!$J$31+0.5*(TCO!$J$5+TCO!$J$7+TCO!$J$8+TCO!$J$9+TCO!$J$10+TCO!$J$12+TCO!$J$15+TCO!$J$16+TCO!$J$22+TCO!$J$23+TCO!$J$24+TCO!$J$26)</f>
        <v>37323482.6</v>
      </c>
      <c r="D10" s="13" t="n">
        <f aca="false">Допущения!$C$53</f>
        <v>15</v>
      </c>
      <c r="E10" s="13" t="n">
        <f aca="false">Эффект!$B$5</f>
        <v>890625</v>
      </c>
      <c r="F10" s="18" t="n">
        <f aca="false">C10/(E10*D10)/100</f>
        <v>0.0279380454549708</v>
      </c>
      <c r="G10" s="13" t="n">
        <f aca="false">Допущения!$C$46*100*E10*D10-C10</f>
        <v>-10604732.6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2026-10-24T09:53:02Z</dcterms:created>
  <dc:creator>openpyxl</dc:creator>
  <dc:description/>
  <dc:language>en-US</dc:language>
  <cp:lastModifiedBy/>
  <dcterms:modified xsi:type="dcterms:W3CDTF">2026-10-24T09:53:02Z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